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順位記録" sheetId="2" state="visible" r:id="rId4"/>
    <sheet name="店舗別サマリー" sheetId="3" state="visible" r:id="rId5"/>
    <sheet name="推移グラ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<sst xmlns="http://schemas.openxmlformats.org/spreadsheetml/2006/main" count="50" uniqueCount="35">
  <si>
    <r>
      <rPr>
        <b val="true"/>
        <sz val="14"/>
        <rFont val="Arial"/>
        <family val="0"/>
        <charset val="1"/>
      </rPr>
      <t xml:space="preserve">MEO</t>
    </r>
    <r>
      <rPr>
        <b val="true"/>
        <sz val="14"/>
        <rFont val="WenQuanYi Zen Hei"/>
        <family val="2"/>
      </rPr>
      <t xml:space="preserve">順位計測シート 使い方</t>
    </r>
  </si>
  <si>
    <r>
      <rPr>
        <sz val="10"/>
        <rFont val="WenQuanYi Zen Hei"/>
        <family val="2"/>
      </rPr>
      <t xml:space="preserve">このシートは、有料の順位計測ツールを使わずに</t>
    </r>
    <r>
      <rPr>
        <sz val="10"/>
        <rFont val="Arial"/>
        <family val="0"/>
        <charset val="1"/>
      </rPr>
      <t xml:space="preserve">Google</t>
    </r>
    <r>
      <rPr>
        <sz val="10"/>
        <rFont val="WenQuanYi Zen Hei"/>
        <family val="2"/>
      </rPr>
      <t xml:space="preserve">マップの検索順位を記録するための無料の自作ツールです。</t>
    </r>
  </si>
  <si>
    <t xml:space="preserve">【計測手順】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</si>
  <si>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スマートフォンまたは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でシークレットウィンドウ（プライベートブラウズ）を開く。</t>
    </r>
  </si>
  <si>
    <r>
      <rPr>
        <sz val="10"/>
        <rFont val="Arial"/>
        <family val="0"/>
        <charset val="1"/>
      </rPr>
      <t xml:space="preserve">2. Google</t>
    </r>
    <r>
      <rPr>
        <sz val="10"/>
        <rFont val="WenQuanYi Zen Hei"/>
        <family val="2"/>
      </rPr>
      <t xml:space="preserve">マップで対象エリアまでスクロール・拡大縮小し、検索位置を合わせてから「エリア名＋業種」等のキーワードで検索する。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</si>
  <si>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「順位記録」シートに、計測日・店舗名・キーワード・順位を入力する（青字のセルが入力例です。同じ形式で追記してください）。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</si>
  <si>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週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回など、決まった頻度で継続することで推移が見えるようになります。</t>
    </r>
  </si>
  <si>
    <t xml:space="preserve">【シート構成】</t>
  </si>
  <si>
    <t xml:space="preserve">・順位記録：計測データを入力する台帳（下へ追記していく）</t>
  </si>
  <si>
    <r>
      <rPr>
        <sz val="10"/>
        <rFont val="WenQuanYi Zen Hei"/>
        <family val="2"/>
      </rPr>
      <t xml:space="preserve">・店舗別サマリー：店舗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キーワードごとの直近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日平均順位を自動集計（数式のみ、手入力不要）</t>
    </r>
  </si>
  <si>
    <t xml:space="preserve">・推移グラフ：入力例データをもとにしたグラフの見本（データが増えたら参照範囲を広げてください）</t>
  </si>
  <si>
    <t xml:space="preserve">【注意】</t>
  </si>
  <si>
    <r>
      <rPr>
        <sz val="10"/>
        <rFont val="WenQuanYi Zen Hei"/>
        <family val="2"/>
      </rPr>
      <t xml:space="preserve">・自動スクレイピングでの順位取得は</t>
    </r>
    <r>
      <rPr>
        <sz val="10"/>
        <rFont val="Arial"/>
        <family val="0"/>
        <charset val="1"/>
      </rPr>
      <t xml:space="preserve">Google</t>
    </r>
    <r>
      <rPr>
        <sz val="10"/>
        <rFont val="WenQuanYi Zen Hei"/>
        <family val="2"/>
      </rPr>
      <t xml:space="preserve">の利用規約に抵触するおそれがあるため行わないでください。</t>
    </r>
  </si>
  <si>
    <r>
      <rPr>
        <sz val="10"/>
        <rFont val="WenQuanYi Zen Hei"/>
        <family val="2"/>
      </rPr>
      <t xml:space="preserve">・手動計測が負担になってきたら（目安：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店舗・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キーワード超）、有料の順位計測ツール導入を検討してください。</t>
    </r>
  </si>
  <si>
    <r>
      <rPr>
        <sz val="10"/>
        <rFont val="WenQuanYi Zen Hei"/>
        <family val="2"/>
      </rPr>
      <t xml:space="preserve">  （</t>
    </r>
    <r>
      <rPr>
        <sz val="10"/>
        <rFont val="Arial"/>
        <family val="0"/>
        <charset val="1"/>
      </rPr>
      <t xml:space="preserve">docs/meo-tools-comparison.md </t>
    </r>
    <r>
      <rPr>
        <sz val="10"/>
        <rFont val="WenQuanYi Zen Hei"/>
        <family val="2"/>
      </rPr>
      <t xml:space="preserve">を参照）</t>
    </r>
  </si>
  <si>
    <t xml:space="preserve">計測日</t>
  </si>
  <si>
    <t xml:space="preserve">店舗名</t>
  </si>
  <si>
    <t xml:space="preserve">検索キーワード</t>
  </si>
  <si>
    <r>
      <rPr>
        <b val="true"/>
        <sz val="10"/>
        <color rgb="FFFFFFFF"/>
        <rFont val="WenQuanYi Zen Hei"/>
        <family val="2"/>
      </rPr>
      <t xml:space="preserve">検索方法（端末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エリア設定）</t>
    </r>
  </si>
  <si>
    <r>
      <rPr>
        <b val="true"/>
        <sz val="10"/>
        <color rgb="FFFFFFFF"/>
        <rFont val="WenQuanYi Zen Hei"/>
        <family val="2"/>
      </rPr>
      <t xml:space="preserve">ローカルパック順位（</t>
    </r>
    <r>
      <rPr>
        <b val="true"/>
        <sz val="10"/>
        <color rgb="FFFFFFFF"/>
        <rFont val="Arial"/>
        <family val="0"/>
        <charset val="1"/>
      </rPr>
      <t xml:space="preserve">1-3</t>
    </r>
    <r>
      <rPr>
        <b val="true"/>
        <sz val="10"/>
        <color rgb="FFFFFFFF"/>
        <rFont val="WenQuanYi Zen Hei"/>
        <family val="2"/>
      </rPr>
      <t xml:space="preserve">圏外は</t>
    </r>
    <r>
      <rPr>
        <b val="true"/>
        <sz val="10"/>
        <color rgb="FFFFFFFF"/>
        <rFont val="Arial"/>
        <family val="0"/>
        <charset val="1"/>
      </rPr>
      <t xml:space="preserve">99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</si>
  <si>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マップ内順位</t>
  </si>
  <si>
    <t xml:space="preserve">備考</t>
  </si>
  <si>
    <t xml:space="preserve">【サンプル）渋谷店】</t>
  </si>
  <si>
    <t xml:space="preserve">渋谷 カフェ</t>
  </si>
  <si>
    <t xml:space="preserve">スマホ・シークレット</t>
  </si>
  <si>
    <t xml:space="preserve">初回計測</t>
  </si>
  <si>
    <r>
      <rPr>
        <sz val="10"/>
        <color rgb="FF0000FF"/>
        <rFont val="WenQuanYi Zen Hei"/>
        <family val="2"/>
      </rPr>
      <t xml:space="preserve">口コミ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件追加</t>
    </r>
  </si>
  <si>
    <r>
      <rPr>
        <sz val="10"/>
        <color rgb="FF0000FF"/>
        <rFont val="WenQuanYi Zen Hei"/>
        <family val="2"/>
      </rPr>
      <t xml:space="preserve">投稿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件</t>
    </r>
  </si>
  <si>
    <r>
      <rPr>
        <b val="true"/>
        <sz val="10"/>
        <color rgb="FFFFFFFF"/>
        <rFont val="WenQuanYi Zen Hei"/>
        <family val="2"/>
      </rPr>
      <t xml:space="preserve">直近</t>
    </r>
    <r>
      <rPr>
        <b val="true"/>
        <sz val="10"/>
        <color rgb="FFFFFFFF"/>
        <rFont val="Arial"/>
        <family val="0"/>
        <charset val="1"/>
      </rPr>
      <t xml:space="preserve">30</t>
    </r>
    <r>
      <rPr>
        <b val="true"/>
        <sz val="10"/>
        <color rgb="FFFFFFFF"/>
        <rFont val="WenQuanYi Zen Hei"/>
        <family val="2"/>
      </rPr>
      <t xml:space="preserve">日 平均順位（ローカルパック）</t>
    </r>
  </si>
  <si>
    <r>
      <rPr>
        <b val="true"/>
        <sz val="10"/>
        <color rgb="FFFFFFFF"/>
        <rFont val="WenQuanYi Zen Hei"/>
        <family val="2"/>
      </rPr>
      <t xml:space="preserve">直近</t>
    </r>
    <r>
      <rPr>
        <b val="true"/>
        <sz val="10"/>
        <color rgb="FFFFFFFF"/>
        <rFont val="Arial"/>
        <family val="0"/>
        <charset val="1"/>
      </rPr>
      <t xml:space="preserve">30</t>
    </r>
    <r>
      <rPr>
        <b val="true"/>
        <sz val="10"/>
        <color rgb="FFFFFFFF"/>
        <rFont val="WenQuanYi Zen Hei"/>
        <family val="2"/>
      </rPr>
      <t xml:space="preserve">日 平均順位（マップ内）</t>
    </r>
  </si>
  <si>
    <r>
      <rPr>
        <b val="true"/>
        <sz val="10"/>
        <color rgb="FFFFFFFF"/>
        <rFont val="WenQuanYi Zen Hei"/>
        <family val="2"/>
      </rPr>
      <t xml:space="preserve">直近</t>
    </r>
    <r>
      <rPr>
        <b val="true"/>
        <sz val="10"/>
        <color rgb="FFFFFFFF"/>
        <rFont val="Arial"/>
        <family val="0"/>
        <charset val="1"/>
      </rPr>
      <t xml:space="preserve">30</t>
    </r>
    <r>
      <rPr>
        <b val="true"/>
        <sz val="10"/>
        <color rgb="FFFFFFFF"/>
        <rFont val="WenQuanYi Zen Hei"/>
        <family val="2"/>
      </rPr>
      <t xml:space="preserve">日 計測件数</t>
    </r>
  </si>
  <si>
    <t xml:space="preserve">※ 「店舗名」「検索キーワード」欄（青字）に、順位記録シートと同じ表記で入力すると自動集計されます。</t>
  </si>
  <si>
    <t xml:space="preserve">サンプル店舗の順位推移（見本）</t>
  </si>
  <si>
    <t xml:space="preserve">ローカルパック順位</t>
  </si>
  <si>
    <t xml:space="preserve">※ データが増えたら、上の表とグラフの参照範囲（行）を広げてください。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</si>
</sst>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i val="true"/>
      <sz val="9"/>
      <color rgb="FF5B6472"/>
      <name val="WenQuanYi Zen He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7A5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C"/>
      <rgbColor rgb="FFD9D9D9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順位推移（サンプル）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推移グラフ!B3</c:f>
              <c:strCache>
                <c:ptCount val="1"/>
                <c:pt idx="0">
                  <c:v>ローカルパック順位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推移グラフ!$A$4:$A$7</c:f>
              <c:strCache>
                <c:ptCount val="4"/>
                <c:pt idx="0">
                  <c:v>2026-07-07</c:v>
                </c:pt>
                <c:pt idx="1">
                  <c:v>2026-07-14</c:v>
                </c:pt>
                <c:pt idx="2">
                  <c:v>2026-07-21</c:v>
                </c:pt>
                <c:pt idx="3">
                  <c:v>2026-07-28</c:v>
                </c:pt>
              </c:strCache>
            </c:strRef>
          </c:cat>
          <c:val>
            <c:numRef>
              <c:f>推移グラフ!$B$4:$B$7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推移グラフ!C3</c:f>
              <c:strCache>
                <c:ptCount val="1"/>
                <c:pt idx="0">
                  <c:v>マップ内順位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推移グラフ!$A$4:$A$7</c:f>
              <c:strCache>
                <c:ptCount val="4"/>
                <c:pt idx="0">
                  <c:v>2026-07-07</c:v>
                </c:pt>
                <c:pt idx="1">
                  <c:v>2026-07-14</c:v>
                </c:pt>
                <c:pt idx="2">
                  <c:v>2026-07-21</c:v>
                </c:pt>
                <c:pt idx="3">
                  <c:v>2026-07-28</c:v>
                </c:pt>
              </c:strCache>
            </c:strRef>
          </c:cat>
          <c:val>
            <c:numRef>
              <c:f>推移グラフ!$C$4:$C$7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902384"/>
        <c:axId val="42147719"/>
      </c:lineChart>
      <c:catAx>
        <c:axId val="849023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計測日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47719"/>
        <c:crosses val="autoZero"/>
        <c:auto val="1"/>
        <c:lblAlgn val="ctr"/>
        <c:lblOffset val="100"/>
        <c:noMultiLvlLbl val="0"/>
      </c:catAx>
      <c:valAx>
        <c:axId val="4214771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順位（数字が小さいほど上位）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023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408960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303516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4.15" hidden="false" customHeight="false" outlineLevel="0" collapsed="false">
      <c r="A6" s="2" t="s">
        <v>3</v>
      </c>
    </row>
    <row r="7" customFormat="false" ht="14.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2" t="s">
        <v>5</v>
      </c>
    </row>
    <row r="9" customFormat="false" ht="14.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4.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4.15" hidden="false" customHeight="false" outlineLevel="0" collapsed="false">
      <c r="A17" s="3" t="s">
        <v>12</v>
      </c>
    </row>
    <row r="18" customFormat="false" ht="14.15" hidden="false" customHeight="false" outlineLevel="0" collapsed="false">
      <c r="A18" s="3" t="s">
        <v>13</v>
      </c>
    </row>
    <row r="19" customFormat="false" ht="14.15" hidden="false" customHeight="false" outlineLevel="0" collapsed="false">
      <c r="A1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6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 customFormat="false" ht="15" hidden="false" customHeight="false" outlineLevel="0" collapsed="false">
      <c r="A2" s="5" t="n">
        <v>46210</v>
      </c>
      <c r="B2" s="6" t="s">
        <v>22</v>
      </c>
      <c r="C2" s="6" t="s">
        <v>23</v>
      </c>
      <c r="D2" s="6" t="s">
        <v>24</v>
      </c>
      <c r="E2" s="7" t="n">
        <v>5</v>
      </c>
      <c r="F2" s="7" t="n">
        <v>6</v>
      </c>
      <c r="G2" s="6" t="s">
        <v>25</v>
      </c>
    </row>
    <row r="3" customFormat="false" ht="15" hidden="false" customHeight="false" outlineLevel="0" collapsed="false">
      <c r="A3" s="5" t="n">
        <v>46217</v>
      </c>
      <c r="B3" s="6" t="s">
        <v>22</v>
      </c>
      <c r="C3" s="6" t="s">
        <v>23</v>
      </c>
      <c r="D3" s="6" t="s">
        <v>24</v>
      </c>
      <c r="E3" s="7" t="n">
        <v>4</v>
      </c>
      <c r="F3" s="7" t="n">
        <v>5</v>
      </c>
      <c r="G3" s="6" t="s">
        <v>26</v>
      </c>
    </row>
    <row r="4" customFormat="false" ht="15" hidden="false" customHeight="false" outlineLevel="0" collapsed="false">
      <c r="A4" s="5" t="n">
        <v>46224</v>
      </c>
      <c r="B4" s="6" t="s">
        <v>22</v>
      </c>
      <c r="C4" s="6" t="s">
        <v>23</v>
      </c>
      <c r="D4" s="6" t="s">
        <v>24</v>
      </c>
      <c r="E4" s="7" t="n">
        <v>3</v>
      </c>
      <c r="F4" s="7" t="n">
        <v>4</v>
      </c>
      <c r="G4" s="6" t="s">
        <v>27</v>
      </c>
    </row>
    <row r="5" customFormat="false" ht="15" hidden="false" customHeight="false" outlineLevel="0" collapsed="false">
      <c r="A5" s="5" t="n">
        <v>46231</v>
      </c>
      <c r="B5" s="6" t="s">
        <v>22</v>
      </c>
      <c r="C5" s="6" t="s">
        <v>23</v>
      </c>
      <c r="D5" s="6" t="s">
        <v>24</v>
      </c>
      <c r="E5" s="7" t="n">
        <v>3</v>
      </c>
      <c r="F5" s="7" t="n">
        <v>3</v>
      </c>
      <c r="G5" s="6"/>
    </row>
    <row r="6" customFormat="false" ht="15" hidden="false" customHeight="false" outlineLevel="0" collapsed="false">
      <c r="A6" s="8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8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8"/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A9" s="8"/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8"/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8"/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8"/>
      <c r="B12" s="9"/>
      <c r="C12" s="9"/>
      <c r="D12" s="9"/>
      <c r="E12" s="9"/>
      <c r="F12" s="9"/>
      <c r="G12" s="9"/>
    </row>
    <row r="13" customFormat="false" ht="15" hidden="false" customHeight="false" outlineLevel="0" collapsed="false">
      <c r="A13" s="8"/>
      <c r="B13" s="9"/>
      <c r="C13" s="9"/>
      <c r="D13" s="9"/>
      <c r="E13" s="9"/>
      <c r="F13" s="9"/>
      <c r="G13" s="9"/>
    </row>
    <row r="14" customFormat="false" ht="15" hidden="false" customHeight="false" outlineLevel="0" collapsed="false">
      <c r="A14" s="8"/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8"/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8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8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8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8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8"/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A21" s="8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8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8"/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8"/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8"/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8"/>
      <c r="B26" s="9"/>
      <c r="C26" s="9"/>
      <c r="D26" s="9"/>
      <c r="E26" s="9"/>
      <c r="F26" s="9"/>
      <c r="G26" s="9"/>
    </row>
    <row r="27" customFormat="false" ht="15" hidden="false" customHeight="false" outlineLevel="0" collapsed="false">
      <c r="A27" s="8"/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8"/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8"/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8"/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8"/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A32" s="8"/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A33" s="8"/>
      <c r="B33" s="9"/>
      <c r="C33" s="9"/>
      <c r="D33" s="9"/>
      <c r="E33" s="9"/>
      <c r="F33" s="9"/>
      <c r="G33" s="9"/>
    </row>
    <row r="34" customFormat="false" ht="15" hidden="false" customHeight="false" outlineLevel="0" collapsed="false">
      <c r="A34" s="8"/>
      <c r="B34" s="9"/>
      <c r="C34" s="9"/>
      <c r="D34" s="9"/>
      <c r="E34" s="9"/>
      <c r="F34" s="9"/>
      <c r="G34" s="9"/>
    </row>
    <row r="35" customFormat="false" ht="15" hidden="false" customHeight="false" outlineLevel="0" collapsed="false">
      <c r="A35" s="8"/>
      <c r="B35" s="9"/>
      <c r="C35" s="9"/>
      <c r="D35" s="9"/>
      <c r="E35" s="9"/>
      <c r="F35" s="9"/>
      <c r="G35" s="9"/>
    </row>
    <row r="36" customFormat="false" ht="15" hidden="false" customHeight="false" outlineLevel="0" collapsed="false">
      <c r="A36" s="8"/>
      <c r="B36" s="9"/>
      <c r="C36" s="9"/>
      <c r="D36" s="9"/>
      <c r="E36" s="9"/>
      <c r="F36" s="9"/>
      <c r="G36" s="9"/>
    </row>
    <row r="37" customFormat="false" ht="15" hidden="false" customHeight="false" outlineLevel="0" collapsed="false">
      <c r="A37" s="8"/>
      <c r="B37" s="9"/>
      <c r="C37" s="9"/>
      <c r="D37" s="9"/>
      <c r="E37" s="9"/>
      <c r="F37" s="9"/>
      <c r="G37" s="9"/>
    </row>
    <row r="38" customFormat="false" ht="15" hidden="false" customHeight="false" outlineLevel="0" collapsed="false">
      <c r="A38" s="8"/>
      <c r="B38" s="9"/>
      <c r="C38" s="9"/>
      <c r="D38" s="9"/>
      <c r="E38" s="9"/>
      <c r="F38" s="9"/>
      <c r="G38" s="9"/>
    </row>
    <row r="39" customFormat="false" ht="15" hidden="false" customHeight="false" outlineLevel="0" collapsed="false">
      <c r="A39" s="8"/>
      <c r="B39" s="9"/>
      <c r="C39" s="9"/>
      <c r="D39" s="9"/>
      <c r="E39" s="9"/>
      <c r="F39" s="9"/>
      <c r="G39" s="9"/>
    </row>
  </sheetData>
  <conditionalFormatting sqref="E2:E200">
    <cfRule type="colorScale" priority="2">
      <colorScale>
        <cfvo type="num" val="1"/>
        <cfvo type="num" val="10"/>
        <cfvo type="num" val="30"/>
        <color rgb="FF63BE7B"/>
        <color rgb="FFFFEB84"/>
        <color rgb="FFF8696B"/>
      </colorScale>
    </cfRule>
  </conditionalFormatting>
  <conditionalFormatting sqref="F2:F200">
    <cfRule type="colorScale" priority="3">
      <colorScale>
        <cfvo type="num" val="1"/>
        <cfvo type="num" val="10"/>
        <cfvo type="num" val="3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4" t="s">
        <v>16</v>
      </c>
      <c r="B1" s="4" t="s">
        <v>17</v>
      </c>
      <c r="C1" s="4" t="s">
        <v>28</v>
      </c>
      <c r="D1" s="4" t="s">
        <v>29</v>
      </c>
      <c r="E1" s="4" t="s">
        <v>30</v>
      </c>
    </row>
    <row r="2" customFormat="false" ht="15" hidden="false" customHeight="false" outlineLevel="0" collapsed="false">
      <c r="A2" s="6" t="s">
        <v>22</v>
      </c>
      <c r="B2" s="6" t="s">
        <v>23</v>
      </c>
      <c r="C2" s="10" t="n">
        <f aca="true">IFERROR(AVERAGEIFS(順位記録!$E:$E,順位記録!$B:$B,A2,順位記録!$C:$C,B2,順位記録!$A:$A,"&gt;="&amp;TODAY()-30),"-")</f>
        <v>3.75</v>
      </c>
      <c r="D2" s="10" t="n">
        <f aca="true">IFERROR(AVERAGEIFS(順位記録!$F:$F,順位記録!$B:$B,A2,順位記録!$C:$C,B2,順位記録!$A:$A,"&gt;="&amp;TODAY()-30),"-")</f>
        <v>4.5</v>
      </c>
      <c r="E2" s="10" t="n">
        <f aca="true">COUNTIFS(順位記録!$B:$B,A2,順位記録!$C:$C,B2,順位記録!$A:$A,"&gt;="&amp;TODAY()-30)</f>
        <v>4</v>
      </c>
    </row>
    <row r="3" customFormat="false" ht="15" hidden="false" customHeight="false" outlineLevel="0" collapsed="false">
      <c r="A3" s="9"/>
      <c r="B3" s="9"/>
      <c r="C3" s="10" t="str">
        <f aca="true">IFERROR(AVERAGEIFS(順位記録!$E:$E,順位記録!$B:$B,A3,順位記録!$C:$C,B3,順位記録!$A:$A,"&gt;="&amp;TODAY()-30),"-")</f>
        <v>-</v>
      </c>
      <c r="D3" s="10" t="str">
        <f aca="true">IFERROR(AVERAGEIFS(順位記録!$F:$F,順位記録!$B:$B,A3,順位記録!$C:$C,B3,順位記録!$A:$A,"&gt;="&amp;TODAY()-30),"-")</f>
        <v>-</v>
      </c>
      <c r="E3" s="10" t="n">
        <f aca="true">COUNTIFS(順位記録!$B:$B,A3,順位記録!$C:$C,B3,順位記録!$A:$A,"&gt;="&amp;TODAY()-30)</f>
        <v>0</v>
      </c>
    </row>
    <row r="4" customFormat="false" ht="15" hidden="false" customHeight="false" outlineLevel="0" collapsed="false">
      <c r="A4" s="9"/>
      <c r="B4" s="9"/>
      <c r="C4" s="10" t="str">
        <f aca="true">IFERROR(AVERAGEIFS(順位記録!$E:$E,順位記録!$B:$B,A4,順位記録!$C:$C,B4,順位記録!$A:$A,"&gt;="&amp;TODAY()-30),"-")</f>
        <v>-</v>
      </c>
      <c r="D4" s="10" t="str">
        <f aca="true">IFERROR(AVERAGEIFS(順位記録!$F:$F,順位記録!$B:$B,A4,順位記録!$C:$C,B4,順位記録!$A:$A,"&gt;="&amp;TODAY()-30),"-")</f>
        <v>-</v>
      </c>
      <c r="E4" s="10" t="n">
        <f aca="true">COUNTIFS(順位記録!$B:$B,A4,順位記録!$C:$C,B4,順位記録!$A:$A,"&gt;="&amp;TODAY()-30)</f>
        <v>0</v>
      </c>
    </row>
    <row r="5" customFormat="false" ht="15" hidden="false" customHeight="false" outlineLevel="0" collapsed="false">
      <c r="A5" s="9"/>
      <c r="B5" s="9"/>
      <c r="C5" s="10" t="str">
        <f aca="true">IFERROR(AVERAGEIFS(順位記録!$E:$E,順位記録!$B:$B,A5,順位記録!$C:$C,B5,順位記録!$A:$A,"&gt;="&amp;TODAY()-30),"-")</f>
        <v>-</v>
      </c>
      <c r="D5" s="10" t="str">
        <f aca="true">IFERROR(AVERAGEIFS(順位記録!$F:$F,順位記録!$B:$B,A5,順位記録!$C:$C,B5,順位記録!$A:$A,"&gt;="&amp;TODAY()-30),"-")</f>
        <v>-</v>
      </c>
      <c r="E5" s="10" t="n">
        <f aca="true">COUNTIFS(順位記録!$B:$B,A5,順位記録!$C:$C,B5,順位記録!$A:$A,"&gt;="&amp;TODAY()-30)</f>
        <v>0</v>
      </c>
    </row>
    <row r="6" customFormat="false" ht="15" hidden="false" customHeight="false" outlineLevel="0" collapsed="false">
      <c r="A6" s="9"/>
      <c r="B6" s="9"/>
      <c r="C6" s="10" t="str">
        <f aca="true">IFERROR(AVERAGEIFS(順位記録!$E:$E,順位記録!$B:$B,A6,順位記録!$C:$C,B6,順位記録!$A:$A,"&gt;="&amp;TODAY()-30),"-")</f>
        <v>-</v>
      </c>
      <c r="D6" s="10" t="str">
        <f aca="true">IFERROR(AVERAGEIFS(順位記録!$F:$F,順位記録!$B:$B,A6,順位記録!$C:$C,B6,順位記録!$A:$A,"&gt;="&amp;TODAY()-30),"-")</f>
        <v>-</v>
      </c>
      <c r="E6" s="10" t="n">
        <f aca="true">COUNTIFS(順位記録!$B:$B,A6,順位記録!$C:$C,B6,順位記録!$A:$A,"&gt;="&amp;TODAY()-30)</f>
        <v>0</v>
      </c>
    </row>
    <row r="7" customFormat="false" ht="15" hidden="false" customHeight="false" outlineLevel="0" collapsed="false">
      <c r="A7" s="9"/>
      <c r="B7" s="9"/>
      <c r="C7" s="10" t="str">
        <f aca="true">IFERROR(AVERAGEIFS(順位記録!$E:$E,順位記録!$B:$B,A7,順位記録!$C:$C,B7,順位記録!$A:$A,"&gt;="&amp;TODAY()-30),"-")</f>
        <v>-</v>
      </c>
      <c r="D7" s="10" t="str">
        <f aca="true">IFERROR(AVERAGEIFS(順位記録!$F:$F,順位記録!$B:$B,A7,順位記録!$C:$C,B7,順位記録!$A:$A,"&gt;="&amp;TODAY()-30),"-")</f>
        <v>-</v>
      </c>
      <c r="E7" s="10" t="n">
        <f aca="true">COUNTIFS(順位記録!$B:$B,A7,順位記録!$C:$C,B7,順位記録!$A:$A,"&gt;="&amp;TODAY()-30)</f>
        <v>0</v>
      </c>
    </row>
    <row r="8" customFormat="false" ht="15" hidden="false" customHeight="false" outlineLevel="0" collapsed="false">
      <c r="A8" s="9"/>
      <c r="B8" s="9"/>
      <c r="C8" s="10" t="str">
        <f aca="true">IFERROR(AVERAGEIFS(順位記録!$E:$E,順位記録!$B:$B,A8,順位記録!$C:$C,B8,順位記録!$A:$A,"&gt;="&amp;TODAY()-30),"-")</f>
        <v>-</v>
      </c>
      <c r="D8" s="10" t="str">
        <f aca="true">IFERROR(AVERAGEIFS(順位記録!$F:$F,順位記録!$B:$B,A8,順位記録!$C:$C,B8,順位記録!$A:$A,"&gt;="&amp;TODAY()-30),"-")</f>
        <v>-</v>
      </c>
      <c r="E8" s="10" t="n">
        <f aca="true">COUNTIFS(順位記録!$B:$B,A8,順位記録!$C:$C,B8,順位記録!$A:$A,"&gt;="&amp;TODAY()-30)</f>
        <v>0</v>
      </c>
    </row>
    <row r="9" customFormat="false" ht="15" hidden="false" customHeight="false" outlineLevel="0" collapsed="false">
      <c r="A9" s="9"/>
      <c r="B9" s="9"/>
      <c r="C9" s="10" t="str">
        <f aca="true">IFERROR(AVERAGEIFS(順位記録!$E:$E,順位記録!$B:$B,A9,順位記録!$C:$C,B9,順位記録!$A:$A,"&gt;="&amp;TODAY()-30),"-")</f>
        <v>-</v>
      </c>
      <c r="D9" s="10" t="str">
        <f aca="true">IFERROR(AVERAGEIFS(順位記録!$F:$F,順位記録!$B:$B,A9,順位記録!$C:$C,B9,順位記録!$A:$A,"&gt;="&amp;TODAY()-30),"-")</f>
        <v>-</v>
      </c>
      <c r="E9" s="10" t="n">
        <f aca="true">COUNTIFS(順位記録!$B:$B,A9,順位記録!$C:$C,B9,順位記録!$A:$A,"&gt;="&amp;TODAY()-30)</f>
        <v>0</v>
      </c>
    </row>
    <row r="10" customFormat="false" ht="15" hidden="false" customHeight="false" outlineLevel="0" collapsed="false">
      <c r="A10" s="9"/>
      <c r="B10" s="9"/>
      <c r="C10" s="10" t="str">
        <f aca="true">IFERROR(AVERAGEIFS(順位記録!$E:$E,順位記録!$B:$B,A10,順位記録!$C:$C,B10,順位記録!$A:$A,"&gt;="&amp;TODAY()-30),"-")</f>
        <v>-</v>
      </c>
      <c r="D10" s="10" t="str">
        <f aca="true">IFERROR(AVERAGEIFS(順位記録!$F:$F,順位記録!$B:$B,A10,順位記録!$C:$C,B10,順位記録!$A:$A,"&gt;="&amp;TODAY()-30),"-")</f>
        <v>-</v>
      </c>
      <c r="E10" s="10" t="n">
        <f aca="true">COUNTIFS(順位記録!$B:$B,A10,順位記録!$C:$C,B10,順位記録!$A:$A,"&gt;="&amp;TODAY()-30)</f>
        <v>0</v>
      </c>
    </row>
    <row r="11" customFormat="false" ht="15" hidden="false" customHeight="false" outlineLevel="0" collapsed="false">
      <c r="A11" s="9"/>
      <c r="B11" s="9"/>
      <c r="C11" s="10" t="str">
        <f aca="true">IFERROR(AVERAGEIFS(順位記録!$E:$E,順位記録!$B:$B,A11,順位記録!$C:$C,B11,順位記録!$A:$A,"&gt;="&amp;TODAY()-30),"-")</f>
        <v>-</v>
      </c>
      <c r="D11" s="10" t="str">
        <f aca="true">IFERROR(AVERAGEIFS(順位記録!$F:$F,順位記録!$B:$B,A11,順位記録!$C:$C,B11,順位記録!$A:$A,"&gt;="&amp;TODAY()-30),"-")</f>
        <v>-</v>
      </c>
      <c r="E11" s="10" t="n">
        <f aca="true">COUNTIFS(順位記録!$B:$B,A11,順位記録!$C:$C,B11,順位記録!$A:$A,"&gt;="&amp;TODAY()-30)</f>
        <v>0</v>
      </c>
    </row>
    <row r="14" customFormat="false" ht="15" hidden="false" customHeight="false" outlineLevel="0" collapsed="false">
      <c r="A14" s="1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7.35" hidden="false" customHeight="false" outlineLevel="0" collapsed="false">
      <c r="A1" s="12" t="s">
        <v>32</v>
      </c>
    </row>
    <row r="3" customFormat="false" ht="15" hidden="false" customHeight="false" outlineLevel="0" collapsed="false">
      <c r="A3" s="13" t="s">
        <v>15</v>
      </c>
      <c r="B3" s="13" t="s">
        <v>33</v>
      </c>
      <c r="C3" s="13" t="s">
        <v>20</v>
      </c>
    </row>
    <row r="4" customFormat="false" ht="15" hidden="false" customHeight="false" outlineLevel="0" collapsed="false">
      <c r="A4" s="14" t="n">
        <f aca="false">順位記録!A2</f>
        <v>46210</v>
      </c>
      <c r="B4" s="2" t="n">
        <f aca="false">順位記録!E2</f>
        <v>5</v>
      </c>
      <c r="C4" s="2" t="n">
        <f aca="false">順位記録!F2</f>
        <v>6</v>
      </c>
    </row>
    <row r="5" customFormat="false" ht="15" hidden="false" customHeight="false" outlineLevel="0" collapsed="false">
      <c r="A5" s="14" t="n">
        <f aca="false">順位記録!A3</f>
        <v>46217</v>
      </c>
      <c r="B5" s="2" t="n">
        <f aca="false">順位記録!E3</f>
        <v>4</v>
      </c>
      <c r="C5" s="2" t="n">
        <f aca="false">順位記録!F3</f>
        <v>5</v>
      </c>
    </row>
    <row r="6" customFormat="false" ht="15" hidden="false" customHeight="false" outlineLevel="0" collapsed="false">
      <c r="A6" s="14" t="n">
        <f aca="false">順位記録!A4</f>
        <v>46224</v>
      </c>
      <c r="B6" s="2" t="n">
        <f aca="false">順位記録!E4</f>
        <v>3</v>
      </c>
      <c r="C6" s="2" t="n">
        <f aca="false">順位記録!F4</f>
        <v>4</v>
      </c>
    </row>
    <row r="7" customFormat="false" ht="15" hidden="false" customHeight="false" outlineLevel="0" collapsed="false">
      <c r="A7" s="14" t="n">
        <f aca="false">順位記録!A5</f>
        <v>46231</v>
      </c>
      <c r="B7" s="2" t="n">
        <f aca="false">順位記録!E5</f>
        <v>3</v>
      </c>
      <c r="C7" s="2" t="n">
        <f aca="false">順位記録!F5</f>
        <v>3</v>
      </c>
    </row>
    <row r="10" customFormat="false" ht="15" hidden="false" customHeight="false" outlineLevel="0" collapsed="false">
      <c r="A10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2026-08-04T01:42:55Z</dcterms:created>
  <dc:creator>openpyxl</dc:creator>
  <dc:description/>
  <dc:language>en-US</dc:language>
  <cp:lastModifiedBy/>
  <dcterms:modified xsi:type="dcterms:W3CDTF">2026-08-04T01:43:00Z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