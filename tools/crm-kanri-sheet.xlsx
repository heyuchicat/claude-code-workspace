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顧客一覧" sheetId="2" state="visible" r:id="rId4"/>
    <sheet name="サマリー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<sst xmlns="http://schemas.openxmlformats.org/spreadsheetml/2006/main" count="76" uniqueCount="67">
  <si>
    <r>
      <rPr>
        <b val="true"/>
        <sz val="14"/>
        <rFont val="WenQuanYi Zen Hei"/>
        <family val="2"/>
      </rPr>
      <t xml:space="preserve">クライアント管理シート 使い方（</t>
    </r>
    <r>
      <rPr>
        <b val="true"/>
        <sz val="14"/>
        <rFont val="Arial"/>
        <family val="0"/>
        <charset val="1"/>
      </rPr>
      <t xml:space="preserve">MEO</t>
    </r>
    <r>
      <rPr>
        <b val="true"/>
        <sz val="14"/>
        <rFont val="WenQuanYi Zen Hei"/>
        <family val="2"/>
      </rPr>
      <t xml:space="preserve">・広告・</t>
    </r>
    <r>
      <rPr>
        <b val="true"/>
        <sz val="14"/>
        <rFont val="Arial"/>
        <family val="0"/>
        <charset val="1"/>
      </rPr>
      <t xml:space="preserve">HP</t>
    </r>
    <r>
      <rPr>
        <b val="true"/>
        <sz val="14"/>
        <rFont val="WenQuanYi Zen Hei"/>
        <family val="2"/>
      </rPr>
      <t xml:space="preserve">制作 共通）</t>
    </r>
  </si>
  <si>
    <r>
      <rPr>
        <sz val="10"/>
        <rFont val="Arial"/>
        <family val="0"/>
        <charset val="1"/>
      </rPr>
      <t xml:space="preserve">MEO</t>
    </r>
    <r>
      <rPr>
        <sz val="10"/>
        <rFont val="WenQuanYi Zen Hei"/>
        <family val="2"/>
      </rPr>
      <t xml:space="preserve">対策・</t>
    </r>
    <r>
      <rPr>
        <sz val="10"/>
        <rFont val="Arial"/>
        <family val="0"/>
        <charset val="1"/>
      </rPr>
      <t xml:space="preserve">Google</t>
    </r>
    <r>
      <rPr>
        <sz val="10"/>
        <rFont val="WenQuanYi Zen Hei"/>
        <family val="2"/>
      </rPr>
      <t xml:space="preserve">広告（ディスプレイ／ローカル）・</t>
    </r>
    <r>
      <rPr>
        <sz val="10"/>
        <rFont val="Arial"/>
        <family val="0"/>
        <charset val="1"/>
      </rPr>
      <t xml:space="preserve">META</t>
    </r>
    <r>
      <rPr>
        <sz val="10"/>
        <rFont val="WenQuanYi Zen Hei"/>
        <family val="2"/>
      </rPr>
      <t xml:space="preserve">広告・</t>
    </r>
    <r>
      <rPr>
        <sz val="10"/>
        <rFont val="Arial"/>
        <family val="0"/>
        <charset val="1"/>
      </rPr>
      <t xml:space="preserve">HP/LP</t>
    </r>
    <r>
      <rPr>
        <sz val="10"/>
        <rFont val="WenQuanYi Zen Hei"/>
        <family val="2"/>
      </rPr>
      <t xml:space="preserve">制作を組み合わせて契約できるため、</t>
    </r>
  </si>
  <si>
    <t xml:space="preserve">「顧客一覧」シートではクライアントごとにどのサービスを契約しているかを列で管理します。</t>
  </si>
  <si>
    <t xml:space="preserve">【使い方】</t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</si>
  <si>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新規契約が決まったら「顧客一覧」に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行追加する（青字セルが入力例）。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</si>
  <si>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契約しているサービスの列に「あり」を選択する（プルダウン）。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</si>
  <si>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月額運用手数料合計は、</t>
    </r>
    <r>
      <rPr>
        <sz val="10"/>
        <rFont val="Arial"/>
        <family val="0"/>
        <charset val="1"/>
      </rPr>
      <t xml:space="preserve">MEO</t>
    </r>
    <r>
      <rPr>
        <sz val="10"/>
        <rFont val="WenQuanYi Zen Hei"/>
        <family val="2"/>
      </rPr>
      <t xml:space="preserve">固定額＋広告運用手数料など、実際に請求する合計額を入力する</t>
    </r>
  </si>
  <si>
    <r>
      <rPr>
        <sz val="10"/>
        <rFont val="WenQuanYi Zen Hei"/>
        <family val="2"/>
      </rPr>
      <t xml:space="preserve">   （広告費（</t>
    </r>
    <r>
      <rPr>
        <sz val="10"/>
        <rFont val="Arial"/>
        <family val="0"/>
        <charset val="1"/>
      </rPr>
      <t xml:space="preserve">media</t>
    </r>
    <r>
      <rPr>
        <sz val="10"/>
        <rFont val="WenQuanYi Zen Hei"/>
        <family val="2"/>
      </rPr>
      <t xml:space="preserve">費用）はクライアント自身の広告アカウントで支払われるため、ここには含めない）。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</si>
  <si>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WenQuanYi Zen Hei"/>
        <family val="2"/>
      </rPr>
      <t xml:space="preserve">契約終了日を入れると「残り日数」が自動計算され、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日以内はオレンジ、期限切れはピンクで表示される。</t>
    </r>
  </si>
  <si>
    <r>
      <rPr>
        <sz val="10"/>
        <rFont val="Arial"/>
        <family val="0"/>
        <charset val="1"/>
      </rPr>
      <t xml:space="preserve">5. </t>
    </r>
    <r>
      <rPr>
        <sz val="10"/>
        <rFont val="WenQuanYi Zen Hei"/>
        <family val="2"/>
      </rPr>
      <t xml:space="preserve">「サマリー」シートでサービス別契約件数と</t>
    </r>
    <r>
      <rPr>
        <sz val="10"/>
        <rFont val="Arial"/>
        <family val="0"/>
        <charset val="1"/>
      </rPr>
      <t xml:space="preserve">MRR</t>
    </r>
    <r>
      <rPr>
        <sz val="10"/>
        <rFont val="WenQuanYi Zen Hei"/>
        <family val="2"/>
      </rPr>
      <t xml:space="preserve">（月次経常収益＝運用手数料の合計）が自動集計される。</t>
    </r>
  </si>
  <si>
    <t xml:space="preserve">【関連ドキュメント】</t>
  </si>
  <si>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Google</t>
    </r>
    <r>
      <rPr>
        <sz val="10"/>
        <rFont val="WenQuanYi Zen Hei"/>
        <family val="2"/>
      </rPr>
      <t xml:space="preserve">広告のクライアントリンク</t>
    </r>
    <r>
      <rPr>
        <sz val="10"/>
        <rFont val="Arial"/>
        <family val="0"/>
        <charset val="1"/>
      </rPr>
      <t xml:space="preserve">: docs/templates/google-ads-mcc-guide.md</t>
    </r>
  </si>
  <si>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META</t>
    </r>
    <r>
      <rPr>
        <sz val="10"/>
        <rFont val="WenQuanYi Zen Hei"/>
        <family val="2"/>
      </rPr>
      <t xml:space="preserve">広告のクライアント連携</t>
    </r>
    <r>
      <rPr>
        <sz val="10"/>
        <rFont val="Arial"/>
        <family val="0"/>
        <charset val="1"/>
      </rPr>
      <t xml:space="preserve">: docs/templates/meta-ads-setup-guide.md</t>
    </r>
  </si>
  <si>
    <r>
      <rPr>
        <sz val="10"/>
        <rFont val="WenQuanYi Zen Hei"/>
        <family val="2"/>
      </rPr>
      <t xml:space="preserve">・料金の考え方</t>
    </r>
    <r>
      <rPr>
        <sz val="10"/>
        <rFont val="Arial"/>
        <family val="0"/>
        <charset val="1"/>
      </rPr>
      <t xml:space="preserve">: docs/templates/ryoukinhyou.md</t>
    </r>
  </si>
  <si>
    <t xml:space="preserve">No</t>
  </si>
  <si>
    <r>
      <rPr>
        <b val="true"/>
        <sz val="10"/>
        <color rgb="FFFFFFFF"/>
        <rFont val="WenQuanYi Zen Hei"/>
        <family val="2"/>
      </rPr>
      <t xml:space="preserve">店舗名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会社名</t>
    </r>
  </si>
  <si>
    <t xml:space="preserve">業種</t>
  </si>
  <si>
    <t xml:space="preserve">担当者名</t>
  </si>
  <si>
    <t xml:space="preserve">電話番号</t>
  </si>
  <si>
    <t xml:space="preserve">メールアドレス</t>
  </si>
  <si>
    <t xml:space="preserve">MEO</t>
  </si>
  <si>
    <r>
      <rPr>
        <b val="true"/>
        <sz val="10"/>
        <color rgb="FFFFFFFF"/>
        <rFont val="Arial"/>
        <family val="0"/>
        <charset val="1"/>
      </rPr>
      <t xml:space="preserve">Google</t>
    </r>
    <r>
      <rPr>
        <b val="true"/>
        <sz val="10"/>
        <color rgb="FFFFFFFF"/>
        <rFont val="WenQuanYi Zen Hei"/>
        <family val="2"/>
      </rPr>
      <t xml:space="preserve">広告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ディスプレイ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</si>
  <si>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Google</t>
    </r>
    <r>
      <rPr>
        <b val="true"/>
        <sz val="10"/>
        <color rgb="FFFFFFFF"/>
        <rFont val="WenQuanYi Zen Hei"/>
        <family val="2"/>
      </rPr>
      <t xml:space="preserve">広告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ローカル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</si>
  <si>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META</t>
    </r>
    <r>
      <rPr>
        <b val="true"/>
        <sz val="10"/>
        <color rgb="FFFFFFFF"/>
        <rFont val="WenQuanYi Zen Hei"/>
        <family val="2"/>
      </rPr>
      <t xml:space="preserve">広告</t>
    </r>
  </si>
  <si>
    <r>
      <rPr>
        <b val="true"/>
        <sz val="10"/>
        <color rgb="FFFFFFFF"/>
        <rFont val="Arial"/>
        <family val="0"/>
        <charset val="1"/>
      </rPr>
      <t xml:space="preserve">HP/LP</t>
    </r>
    <r>
      <rPr>
        <b val="true"/>
        <sz val="10"/>
        <color rgb="FFFFFFFF"/>
        <rFont val="WenQuanYi Zen Hei"/>
        <family val="2"/>
      </rPr>
      <t xml:space="preserve">制作</t>
    </r>
  </si>
  <si>
    <t xml:space="preserve">月額運用手数料
合計</t>
  </si>
  <si>
    <t xml:space="preserve">契約開始日</t>
  </si>
  <si>
    <t xml:space="preserve">契約終了日</t>
  </si>
  <si>
    <t xml:space="preserve">残り日数</t>
  </si>
  <si>
    <t xml:space="preserve">ステータス</t>
  </si>
  <si>
    <t xml:space="preserve">アカウント連携状況</t>
  </si>
  <si>
    <t xml:space="preserve">次のアクション</t>
  </si>
  <si>
    <t xml:space="preserve">備考</t>
  </si>
  <si>
    <t xml:space="preserve">【サンプル）渋谷店】</t>
  </si>
  <si>
    <t xml:space="preserve">飲食</t>
  </si>
  <si>
    <t xml:space="preserve">田中様</t>
  </si>
  <si>
    <t xml:space="preserve">03-0000-0000</t>
  </si>
  <si>
    <t xml:space="preserve">tanaka@example.com</t>
  </si>
  <si>
    <t xml:space="preserve">あり</t>
  </si>
  <si>
    <t xml:space="preserve">なし</t>
  </si>
  <si>
    <t xml:space="preserve">契約中</t>
  </si>
  <si>
    <r>
      <rPr>
        <sz val="10"/>
        <color rgb="FF0000FF"/>
        <rFont val="Arial"/>
        <family val="0"/>
        <charset val="1"/>
      </rPr>
      <t xml:space="preserve">GBP:</t>
    </r>
    <r>
      <rPr>
        <sz val="10"/>
        <color rgb="FF0000FF"/>
        <rFont val="WenQuanYi Zen Hei"/>
        <family val="2"/>
      </rPr>
      <t xml:space="preserve">連携済 </t>
    </r>
    <r>
      <rPr>
        <sz val="10"/>
        <color rgb="FF0000FF"/>
        <rFont val="Arial"/>
        <family val="0"/>
        <charset val="1"/>
      </rPr>
      <t xml:space="preserve">/ MCC:</t>
    </r>
    <r>
      <rPr>
        <sz val="10"/>
        <color rgb="FF0000FF"/>
        <rFont val="WenQuanYi Zen Hei"/>
        <family val="2"/>
      </rPr>
      <t xml:space="preserve">リンク済</t>
    </r>
  </si>
  <si>
    <t xml:space="preserve">月次レポート送付</t>
  </si>
  <si>
    <t xml:space="preserve">広告はディスプレイのみ、バナーは自社制作</t>
  </si>
  <si>
    <t xml:space="preserve">【サンプル）新宿店】</t>
  </si>
  <si>
    <t xml:space="preserve">美容室</t>
  </si>
  <si>
    <t xml:space="preserve">佐藤様</t>
  </si>
  <si>
    <t xml:space="preserve">03-1111-1111</t>
  </si>
  <si>
    <t xml:space="preserve">sato@example.com</t>
  </si>
  <si>
    <t xml:space="preserve">商談中</t>
  </si>
  <si>
    <t xml:space="preserve">未連携</t>
  </si>
  <si>
    <t xml:space="preserve">見積り再送</t>
  </si>
  <si>
    <r>
      <rPr>
        <sz val="10"/>
        <color rgb="FF0000FF"/>
        <rFont val="Arial"/>
        <family val="0"/>
        <charset val="1"/>
      </rPr>
      <t xml:space="preserve">META</t>
    </r>
    <r>
      <rPr>
        <sz val="10"/>
        <color rgb="FF0000FF"/>
        <rFont val="WenQuanYi Zen Hei"/>
        <family val="2"/>
      </rPr>
      <t xml:space="preserve">広告に興味、</t>
    </r>
    <r>
      <rPr>
        <sz val="10"/>
        <color rgb="FF0000FF"/>
        <rFont val="Arial"/>
        <family val="0"/>
        <charset val="1"/>
      </rPr>
      <t xml:space="preserve">Pixel</t>
    </r>
    <r>
      <rPr>
        <sz val="10"/>
        <color rgb="FF0000FF"/>
        <rFont val="WenQuanYi Zen Hei"/>
        <family val="2"/>
      </rPr>
      <t xml:space="preserve">未設置</t>
    </r>
  </si>
  <si>
    <t xml:space="preserve">クライアント状況サマリー</t>
  </si>
  <si>
    <t xml:space="preserve">■ ステータス別件数</t>
  </si>
  <si>
    <t xml:space="preserve">商談中の件数</t>
  </si>
  <si>
    <t xml:space="preserve">契約中の件数</t>
  </si>
  <si>
    <t xml:space="preserve">休止の件数</t>
  </si>
  <si>
    <t xml:space="preserve">解約の件数</t>
  </si>
  <si>
    <t xml:space="preserve">■ サービス別 契約中の件数</t>
  </si>
  <si>
    <r>
      <rPr>
        <sz val="10"/>
        <rFont val="Arial"/>
        <family val="0"/>
        <charset val="1"/>
      </rPr>
      <t xml:space="preserve">Google</t>
    </r>
    <r>
      <rPr>
        <sz val="10"/>
        <rFont val="WenQuanYi Zen Hei"/>
        <family val="2"/>
      </rPr>
      <t xml:space="preserve">広告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ディスプレイ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</si>
  <si>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Google</t>
    </r>
    <r>
      <rPr>
        <sz val="10"/>
        <rFont val="WenQuanYi Zen Hei"/>
        <family val="2"/>
      </rPr>
      <t xml:space="preserve">広告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ローカル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</si>
  <si>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META</t>
    </r>
    <r>
      <rPr>
        <sz val="10"/>
        <rFont val="WenQuanYi Zen Hei"/>
        <family val="2"/>
      </rPr>
      <t xml:space="preserve">広告</t>
    </r>
  </si>
  <si>
    <r>
      <rPr>
        <sz val="10"/>
        <rFont val="Arial"/>
        <family val="0"/>
        <charset val="1"/>
      </rPr>
      <t xml:space="preserve">HP/LP</t>
    </r>
    <r>
      <rPr>
        <sz val="10"/>
        <rFont val="WenQuanYi Zen Hei"/>
        <family val="2"/>
      </rPr>
      <t xml:space="preserve">制作</t>
    </r>
  </si>
  <si>
    <t xml:space="preserve">■ 収益・更新アラート</t>
  </si>
  <si>
    <r>
      <rPr>
        <sz val="10"/>
        <rFont val="WenQuanYi Zen Hei"/>
        <family val="2"/>
      </rPr>
      <t xml:space="preserve">契約中の合計月額（</t>
    </r>
    <r>
      <rPr>
        <sz val="10"/>
        <rFont val="Arial"/>
        <family val="0"/>
        <charset val="1"/>
      </rPr>
      <t xml:space="preserve">MRR</t>
    </r>
    <r>
      <rPr>
        <sz val="10"/>
        <rFont val="WenQuanYi Zen Hei"/>
        <family val="2"/>
      </rPr>
      <t xml:space="preserve">＝運用手数料合計）</t>
    </r>
  </si>
  <si>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日以内に契約終了を迎える契約中の件数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</si>
</sst>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\円"/>
    <numFmt numFmtId="166" formatCode="yyyy\-mm\-dd"/>
    <numFmt numFmtId="167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b val="true"/>
      <sz val="11"/>
      <name val="WenQuanYi Zen Hei"/>
      <family val="2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7A5C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7D4"/>
        </patternFill>
      </fill>
    </dxf>
    <dxf>
      <fill>
        <patternFill>
          <bgColor rgb="FFF8B4B4"/>
        </patternFill>
      </fill>
    </dxf>
    <dxf>
      <fill>
        <patternFill>
          <bgColor rgb="FFFFE9B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5C"/>
      <rgbColor rgb="FFC0C0C0"/>
      <rgbColor rgb="FF808080"/>
      <rgbColor rgb="FF9999FF"/>
      <rgbColor rgb="FF993366"/>
      <rgbColor rgb="FFFFE9B3"/>
      <rgbColor rgb="FFCCFFFF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7D4"/>
      <rgbColor rgb="FFFFFF99"/>
      <rgbColor rgb="FF99CCFF"/>
      <rgbColor rgb="FFFF99CC"/>
      <rgbColor rgb="FFCC99FF"/>
      <rgbColor rgb="FFF8B4B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5C"/>
    <pageSetUpPr fitToPage="false"/>
  </sheetPr>
  <dimension ref="A1:A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4.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4.15" hidden="false" customHeight="false" outlineLevel="0" collapsed="false">
      <c r="A7" s="2" t="s">
        <v>4</v>
      </c>
    </row>
    <row r="8" customFormat="false" ht="14.15" hidden="false" customHeight="false" outlineLevel="0" collapsed="false">
      <c r="A8" s="2" t="s">
        <v>5</v>
      </c>
    </row>
    <row r="9" customFormat="false" ht="14.15" hidden="false" customHeight="false" outlineLevel="0" collapsed="false">
      <c r="A9" s="2" t="s">
        <v>6</v>
      </c>
    </row>
    <row r="10" customFormat="false" ht="14.15" hidden="false" customHeight="false" outlineLevel="0" collapsed="false">
      <c r="A10" s="3" t="s">
        <v>7</v>
      </c>
    </row>
    <row r="11" customFormat="false" ht="14.15" hidden="false" customHeight="false" outlineLevel="0" collapsed="false">
      <c r="A11" s="2" t="s">
        <v>8</v>
      </c>
    </row>
    <row r="12" customFormat="false" ht="14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4.15" hidden="false" customHeight="false" outlineLevel="0" collapsed="false">
      <c r="A15" s="3" t="s">
        <v>11</v>
      </c>
    </row>
    <row r="16" customFormat="false" ht="14.15" hidden="false" customHeight="false" outlineLevel="0" collapsed="false">
      <c r="A16" s="3" t="s">
        <v>12</v>
      </c>
    </row>
    <row r="17" customFormat="false" ht="14.15" hidden="false" customHeight="false" outlineLevel="0" collapsed="false">
      <c r="A17" s="3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5C"/>
    <pageSetUpPr fitToPage="false"/>
  </sheetPr>
  <dimension ref="A1:S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24"/>
    <col collapsed="false" customWidth="true" hidden="false" outlineLevel="0" max="7" min="7" style="0" width="8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1" min="10" style="0" width="10"/>
    <col collapsed="false" customWidth="true" hidden="false" outlineLevel="0" max="12" min="12" style="0" width="14"/>
    <col collapsed="false" customWidth="true" hidden="false" outlineLevel="0" max="14" min="13" style="0" width="12"/>
    <col collapsed="false" customWidth="true" hidden="false" outlineLevel="0" max="16" min="15" style="0" width="10"/>
    <col collapsed="false" customWidth="true" hidden="false" outlineLevel="0" max="18" min="17" style="0" width="20"/>
    <col collapsed="false" customWidth="true" hidden="false" outlineLevel="0" max="19" min="19" style="0" width="24"/>
  </cols>
  <sheetData>
    <row r="1" customFormat="false" ht="42" hidden="false" customHeight="true" outlineLevel="0" collapsed="false">
      <c r="A1" s="4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4" t="s">
        <v>20</v>
      </c>
      <c r="H1" s="4" t="s">
        <v>21</v>
      </c>
      <c r="I1" s="4" t="s">
        <v>22</v>
      </c>
      <c r="J1" s="4" t="s">
        <v>23</v>
      </c>
      <c r="K1" s="4" t="s">
        <v>24</v>
      </c>
      <c r="L1" s="5" t="s">
        <v>25</v>
      </c>
      <c r="M1" s="5" t="s">
        <v>26</v>
      </c>
      <c r="N1" s="5" t="s">
        <v>27</v>
      </c>
      <c r="O1" s="5" t="s">
        <v>28</v>
      </c>
      <c r="P1" s="5" t="s">
        <v>29</v>
      </c>
      <c r="Q1" s="5" t="s">
        <v>30</v>
      </c>
      <c r="R1" s="5" t="s">
        <v>31</v>
      </c>
      <c r="S1" s="5" t="s">
        <v>32</v>
      </c>
    </row>
    <row r="2" customFormat="false" ht="15" hidden="false" customHeight="false" outlineLevel="0" collapsed="false">
      <c r="A2" s="6" t="n">
        <v>1</v>
      </c>
      <c r="B2" s="7" t="s">
        <v>33</v>
      </c>
      <c r="C2" s="7" t="s">
        <v>34</v>
      </c>
      <c r="D2" s="7" t="s">
        <v>35</v>
      </c>
      <c r="E2" s="6" t="s">
        <v>36</v>
      </c>
      <c r="F2" s="6" t="s">
        <v>37</v>
      </c>
      <c r="G2" s="7" t="s">
        <v>38</v>
      </c>
      <c r="H2" s="7" t="s">
        <v>38</v>
      </c>
      <c r="I2" s="7" t="s">
        <v>39</v>
      </c>
      <c r="J2" s="7" t="s">
        <v>39</v>
      </c>
      <c r="K2" s="7" t="s">
        <v>39</v>
      </c>
      <c r="L2" s="8" t="n">
        <v>60000</v>
      </c>
      <c r="M2" s="9" t="n">
        <v>46174</v>
      </c>
      <c r="N2" s="9" t="n">
        <v>46265</v>
      </c>
      <c r="O2" s="10" t="n">
        <f aca="true">IF(N2="","",N2-TODAY())</f>
        <v>27</v>
      </c>
      <c r="P2" s="7" t="s">
        <v>40</v>
      </c>
      <c r="Q2" s="6" t="s">
        <v>41</v>
      </c>
      <c r="R2" s="7" t="s">
        <v>42</v>
      </c>
      <c r="S2" s="7" t="s">
        <v>43</v>
      </c>
    </row>
    <row r="3" customFormat="false" ht="15" hidden="false" customHeight="false" outlineLevel="0" collapsed="false">
      <c r="A3" s="6" t="n">
        <v>2</v>
      </c>
      <c r="B3" s="7" t="s">
        <v>44</v>
      </c>
      <c r="C3" s="7" t="s">
        <v>45</v>
      </c>
      <c r="D3" s="7" t="s">
        <v>46</v>
      </c>
      <c r="E3" s="6" t="s">
        <v>47</v>
      </c>
      <c r="F3" s="6" t="s">
        <v>48</v>
      </c>
      <c r="G3" s="7" t="s">
        <v>38</v>
      </c>
      <c r="H3" s="7" t="s">
        <v>39</v>
      </c>
      <c r="I3" s="7" t="s">
        <v>39</v>
      </c>
      <c r="J3" s="7" t="s">
        <v>38</v>
      </c>
      <c r="K3" s="7" t="s">
        <v>39</v>
      </c>
      <c r="L3" s="8" t="n">
        <v>45000</v>
      </c>
      <c r="M3" s="9" t="n">
        <v>46143</v>
      </c>
      <c r="N3" s="9" t="n">
        <v>46234</v>
      </c>
      <c r="O3" s="10" t="n">
        <f aca="true">IF(N3="","",N3-TODAY())</f>
        <v>-4</v>
      </c>
      <c r="P3" s="7" t="s">
        <v>49</v>
      </c>
      <c r="Q3" s="7" t="s">
        <v>50</v>
      </c>
      <c r="R3" s="7" t="s">
        <v>51</v>
      </c>
      <c r="S3" s="6" t="s">
        <v>52</v>
      </c>
    </row>
    <row r="4" customFormat="false" ht="15" hidden="false" customHeight="false" outlineLevel="0" collapsed="false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2"/>
      <c r="M4" s="13"/>
      <c r="N4" s="13"/>
      <c r="O4" s="11" t="str">
        <f aca="true">IF(N4="","",N4-TODAY())</f>
        <v/>
      </c>
      <c r="P4" s="11"/>
      <c r="Q4" s="11"/>
      <c r="R4" s="11"/>
      <c r="S4" s="11"/>
    </row>
    <row r="5" customFormat="false" ht="15" hidden="false" customHeight="fals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2"/>
      <c r="M5" s="13"/>
      <c r="N5" s="13"/>
      <c r="O5" s="11" t="str">
        <f aca="true">IF(N5="","",N5-TODAY())</f>
        <v/>
      </c>
      <c r="P5" s="11"/>
      <c r="Q5" s="11"/>
      <c r="R5" s="11"/>
      <c r="S5" s="11"/>
    </row>
    <row r="6" customFormat="false" ht="15" hidden="false" customHeight="fals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2"/>
      <c r="M6" s="13"/>
      <c r="N6" s="13"/>
      <c r="O6" s="11" t="str">
        <f aca="true">IF(N6="","",N6-TODAY())</f>
        <v/>
      </c>
      <c r="P6" s="11"/>
      <c r="Q6" s="11"/>
      <c r="R6" s="11"/>
      <c r="S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2"/>
      <c r="M7" s="13"/>
      <c r="N7" s="13"/>
      <c r="O7" s="11" t="str">
        <f aca="true">IF(N7="","",N7-TODAY())</f>
        <v/>
      </c>
      <c r="P7" s="11"/>
      <c r="Q7" s="11"/>
      <c r="R7" s="11"/>
      <c r="S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2"/>
      <c r="M8" s="13"/>
      <c r="N8" s="13"/>
      <c r="O8" s="11" t="str">
        <f aca="true">IF(N8="","",N8-TODAY())</f>
        <v/>
      </c>
      <c r="P8" s="11"/>
      <c r="Q8" s="11"/>
      <c r="R8" s="11"/>
      <c r="S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2"/>
      <c r="M9" s="13"/>
      <c r="N9" s="13"/>
      <c r="O9" s="11" t="str">
        <f aca="true">IF(N9="","",N9-TODAY())</f>
        <v/>
      </c>
      <c r="P9" s="11"/>
      <c r="Q9" s="11"/>
      <c r="R9" s="11"/>
      <c r="S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2"/>
      <c r="M10" s="13"/>
      <c r="N10" s="13"/>
      <c r="O10" s="11" t="str">
        <f aca="true">IF(N10="","",N10-TODAY())</f>
        <v/>
      </c>
      <c r="P10" s="11"/>
      <c r="Q10" s="11"/>
      <c r="R10" s="11"/>
      <c r="S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2"/>
      <c r="M11" s="13"/>
      <c r="N11" s="13"/>
      <c r="O11" s="11" t="str">
        <f aca="true">IF(N11="","",N11-TODAY())</f>
        <v/>
      </c>
      <c r="P11" s="11"/>
      <c r="Q11" s="11"/>
      <c r="R11" s="11"/>
      <c r="S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2"/>
      <c r="M12" s="13"/>
      <c r="N12" s="13"/>
      <c r="O12" s="11" t="str">
        <f aca="true">IF(N12="","",N12-TODAY())</f>
        <v/>
      </c>
      <c r="P12" s="11"/>
      <c r="Q12" s="11"/>
      <c r="R12" s="11"/>
      <c r="S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2"/>
      <c r="M13" s="13"/>
      <c r="N13" s="13"/>
      <c r="O13" s="11" t="str">
        <f aca="true">IF(N13="","",N13-TODAY())</f>
        <v/>
      </c>
      <c r="P13" s="11"/>
      <c r="Q13" s="11"/>
      <c r="R13" s="11"/>
      <c r="S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2"/>
      <c r="M14" s="13"/>
      <c r="N14" s="13"/>
      <c r="O14" s="11" t="str">
        <f aca="true">IF(N14="","",N14-TODAY())</f>
        <v/>
      </c>
      <c r="P14" s="11"/>
      <c r="Q14" s="11"/>
      <c r="R14" s="11"/>
      <c r="S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2"/>
      <c r="M15" s="13"/>
      <c r="N15" s="13"/>
      <c r="O15" s="11" t="str">
        <f aca="true">IF(N15="","",N15-TODAY())</f>
        <v/>
      </c>
      <c r="P15" s="11"/>
      <c r="Q15" s="11"/>
      <c r="R15" s="11"/>
      <c r="S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2"/>
      <c r="M16" s="13"/>
      <c r="N16" s="13"/>
      <c r="O16" s="11" t="str">
        <f aca="true">IF(N16="","",N16-TODAY())</f>
        <v/>
      </c>
      <c r="P16" s="11"/>
      <c r="Q16" s="11"/>
      <c r="R16" s="11"/>
      <c r="S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2"/>
      <c r="M17" s="13"/>
      <c r="N17" s="13"/>
      <c r="O17" s="11" t="str">
        <f aca="true">IF(N17="","",N17-TODAY())</f>
        <v/>
      </c>
      <c r="P17" s="11"/>
      <c r="Q17" s="11"/>
      <c r="R17" s="11"/>
      <c r="S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2"/>
      <c r="M18" s="13"/>
      <c r="N18" s="13"/>
      <c r="O18" s="11" t="str">
        <f aca="true">IF(N18="","",N18-TODAY())</f>
        <v/>
      </c>
      <c r="P18" s="11"/>
      <c r="Q18" s="11"/>
      <c r="R18" s="11"/>
      <c r="S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2"/>
      <c r="M19" s="13"/>
      <c r="N19" s="13"/>
      <c r="O19" s="11" t="str">
        <f aca="true">IF(N19="","",N19-TODAY())</f>
        <v/>
      </c>
      <c r="P19" s="11"/>
      <c r="Q19" s="11"/>
      <c r="R19" s="11"/>
      <c r="S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2"/>
      <c r="M20" s="13"/>
      <c r="N20" s="13"/>
      <c r="O20" s="11" t="str">
        <f aca="true">IF(N20="","",N20-TODAY())</f>
        <v/>
      </c>
      <c r="P20" s="11"/>
      <c r="Q20" s="11"/>
      <c r="R20" s="11"/>
      <c r="S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2"/>
      <c r="M21" s="13"/>
      <c r="N21" s="13"/>
      <c r="O21" s="11" t="str">
        <f aca="true">IF(N21="","",N21-TODAY())</f>
        <v/>
      </c>
      <c r="P21" s="11"/>
      <c r="Q21" s="11"/>
      <c r="R21" s="11"/>
      <c r="S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2"/>
      <c r="M22" s="13"/>
      <c r="N22" s="13"/>
      <c r="O22" s="11" t="str">
        <f aca="true">IF(N22="","",N22-TODAY())</f>
        <v/>
      </c>
      <c r="P22" s="11"/>
      <c r="Q22" s="11"/>
      <c r="R22" s="11"/>
      <c r="S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2"/>
      <c r="M23" s="13"/>
      <c r="N23" s="13"/>
      <c r="O23" s="11" t="str">
        <f aca="true">IF(N23="","",N23-TODAY())</f>
        <v/>
      </c>
      <c r="P23" s="11"/>
      <c r="Q23" s="11"/>
      <c r="R23" s="11"/>
      <c r="S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2"/>
      <c r="M24" s="13"/>
      <c r="N24" s="13"/>
      <c r="O24" s="11" t="str">
        <f aca="true">IF(N24="","",N24-TODAY())</f>
        <v/>
      </c>
      <c r="P24" s="11"/>
      <c r="Q24" s="11"/>
      <c r="R24" s="11"/>
      <c r="S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2"/>
      <c r="M25" s="13"/>
      <c r="N25" s="13"/>
      <c r="O25" s="11" t="str">
        <f aca="true">IF(N25="","",N25-TODAY())</f>
        <v/>
      </c>
      <c r="P25" s="11"/>
      <c r="Q25" s="11"/>
      <c r="R25" s="11"/>
      <c r="S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2"/>
      <c r="M26" s="13"/>
      <c r="N26" s="13"/>
      <c r="O26" s="11" t="str">
        <f aca="true">IF(N26="","",N26-TODAY())</f>
        <v/>
      </c>
      <c r="P26" s="11"/>
      <c r="Q26" s="11"/>
      <c r="R26" s="11"/>
      <c r="S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2"/>
      <c r="M27" s="13"/>
      <c r="N27" s="13"/>
      <c r="O27" s="11" t="str">
        <f aca="true">IF(N27="","",N27-TODAY())</f>
        <v/>
      </c>
      <c r="P27" s="11"/>
      <c r="Q27" s="11"/>
      <c r="R27" s="11"/>
      <c r="S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2"/>
      <c r="M28" s="13"/>
      <c r="N28" s="13"/>
      <c r="O28" s="11" t="str">
        <f aca="true">IF(N28="","",N28-TODAY())</f>
        <v/>
      </c>
      <c r="P28" s="11"/>
      <c r="Q28" s="11"/>
      <c r="R28" s="11"/>
      <c r="S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2"/>
      <c r="M29" s="13"/>
      <c r="N29" s="13"/>
      <c r="O29" s="11" t="str">
        <f aca="true">IF(N29="","",N29-TODAY())</f>
        <v/>
      </c>
      <c r="P29" s="11"/>
      <c r="Q29" s="11"/>
      <c r="R29" s="11"/>
      <c r="S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2"/>
      <c r="M30" s="13"/>
      <c r="N30" s="13"/>
      <c r="O30" s="11" t="str">
        <f aca="true">IF(N30="","",N30-TODAY())</f>
        <v/>
      </c>
      <c r="P30" s="11"/>
      <c r="Q30" s="11"/>
      <c r="R30" s="11"/>
      <c r="S30" s="11"/>
    </row>
    <row r="31" customFormat="false" ht="1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2"/>
      <c r="M31" s="13"/>
      <c r="N31" s="13"/>
      <c r="O31" s="11" t="str">
        <f aca="true">IF(N31="","",N31-TODAY())</f>
        <v/>
      </c>
      <c r="P31" s="11"/>
      <c r="Q31" s="11"/>
      <c r="R31" s="11"/>
      <c r="S31" s="11"/>
    </row>
    <row r="32" customFormat="false" ht="1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2"/>
      <c r="M32" s="13"/>
      <c r="N32" s="13"/>
      <c r="O32" s="11" t="str">
        <f aca="true">IF(N32="","",N32-TODAY())</f>
        <v/>
      </c>
      <c r="P32" s="11"/>
      <c r="Q32" s="11"/>
      <c r="R32" s="11"/>
      <c r="S32" s="11"/>
    </row>
    <row r="33" customFormat="false" ht="1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2"/>
      <c r="M33" s="13"/>
      <c r="N33" s="13"/>
      <c r="O33" s="11" t="str">
        <f aca="true">IF(N33="","",N33-TODAY())</f>
        <v/>
      </c>
      <c r="P33" s="11"/>
      <c r="Q33" s="11"/>
      <c r="R33" s="11"/>
      <c r="S33" s="11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2"/>
      <c r="M34" s="13"/>
      <c r="N34" s="13"/>
      <c r="O34" s="11" t="str">
        <f aca="true">IF(N34="","",N34-TODAY())</f>
        <v/>
      </c>
      <c r="P34" s="11"/>
      <c r="Q34" s="11"/>
      <c r="R34" s="11"/>
      <c r="S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2"/>
      <c r="M35" s="13"/>
      <c r="N35" s="13"/>
      <c r="O35" s="11" t="str">
        <f aca="true">IF(N35="","",N35-TODAY())</f>
        <v/>
      </c>
      <c r="P35" s="11"/>
      <c r="Q35" s="11"/>
      <c r="R35" s="11"/>
      <c r="S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2"/>
      <c r="M36" s="13"/>
      <c r="N36" s="13"/>
      <c r="O36" s="11" t="str">
        <f aca="true">IF(N36="","",N36-TODAY())</f>
        <v/>
      </c>
      <c r="P36" s="11"/>
      <c r="Q36" s="11"/>
      <c r="R36" s="11"/>
      <c r="S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2"/>
      <c r="M37" s="13"/>
      <c r="N37" s="13"/>
      <c r="O37" s="11" t="str">
        <f aca="true">IF(N37="","",N37-TODAY())</f>
        <v/>
      </c>
      <c r="P37" s="11"/>
      <c r="Q37" s="11"/>
      <c r="R37" s="11"/>
      <c r="S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2"/>
      <c r="M38" s="13"/>
      <c r="N38" s="13"/>
      <c r="O38" s="11" t="str">
        <f aca="true">IF(N38="","",N38-TODAY())</f>
        <v/>
      </c>
      <c r="P38" s="11"/>
      <c r="Q38" s="11"/>
      <c r="R38" s="11"/>
      <c r="S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2"/>
      <c r="M39" s="13"/>
      <c r="N39" s="13"/>
      <c r="O39" s="11" t="str">
        <f aca="true">IF(N39="","",N39-TODAY())</f>
        <v/>
      </c>
      <c r="P39" s="11"/>
      <c r="Q39" s="11"/>
      <c r="R39" s="11"/>
      <c r="S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2"/>
      <c r="M40" s="13"/>
      <c r="N40" s="13"/>
      <c r="O40" s="11" t="str">
        <f aca="true">IF(N40="","",N40-TODAY())</f>
        <v/>
      </c>
      <c r="P40" s="11"/>
      <c r="Q40" s="11"/>
      <c r="R40" s="11"/>
      <c r="S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2"/>
      <c r="M41" s="13"/>
      <c r="N41" s="13"/>
      <c r="O41" s="11" t="str">
        <f aca="true">IF(N41="","",N41-TODAY())</f>
        <v/>
      </c>
      <c r="P41" s="11"/>
      <c r="Q41" s="11"/>
      <c r="R41" s="11"/>
      <c r="S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2"/>
      <c r="M42" s="13"/>
      <c r="N42" s="13"/>
      <c r="O42" s="11" t="str">
        <f aca="true">IF(N42="","",N42-TODAY())</f>
        <v/>
      </c>
      <c r="P42" s="11"/>
      <c r="Q42" s="11"/>
      <c r="R42" s="11"/>
      <c r="S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2"/>
      <c r="M43" s="13"/>
      <c r="N43" s="13"/>
      <c r="O43" s="11" t="str">
        <f aca="true">IF(N43="","",N43-TODAY())</f>
        <v/>
      </c>
      <c r="P43" s="11"/>
      <c r="Q43" s="11"/>
      <c r="R43" s="11"/>
      <c r="S43" s="11"/>
    </row>
  </sheetData>
  <conditionalFormatting sqref="G2:G200">
    <cfRule type="cellIs" priority="2" operator="equal" aboveAverage="0" equalAverage="0" bottom="0" percent="0" rank="0" text="" dxfId="0">
      <formula>"あり"</formula>
    </cfRule>
  </conditionalFormatting>
  <conditionalFormatting sqref="H2:H200">
    <cfRule type="cellIs" priority="3" operator="equal" aboveAverage="0" equalAverage="0" bottom="0" percent="0" rank="0" text="" dxfId="0">
      <formula>"あり"</formula>
    </cfRule>
  </conditionalFormatting>
  <conditionalFormatting sqref="I2:I200">
    <cfRule type="cellIs" priority="4" operator="equal" aboveAverage="0" equalAverage="0" bottom="0" percent="0" rank="0" text="" dxfId="0">
      <formula>"あり"</formula>
    </cfRule>
  </conditionalFormatting>
  <conditionalFormatting sqref="J2:J200">
    <cfRule type="cellIs" priority="5" operator="equal" aboveAverage="0" equalAverage="0" bottom="0" percent="0" rank="0" text="" dxfId="0">
      <formula>"あり"</formula>
    </cfRule>
  </conditionalFormatting>
  <conditionalFormatting sqref="K2:K200">
    <cfRule type="cellIs" priority="6" operator="equal" aboveAverage="0" equalAverage="0" bottom="0" percent="0" rank="0" text="" dxfId="0">
      <formula>"あり"</formula>
    </cfRule>
  </conditionalFormatting>
  <conditionalFormatting sqref="O2:O200">
    <cfRule type="cellIs" priority="7" operator="lessThan" aboveAverage="0" equalAverage="0" bottom="0" percent="0" rank="0" text="" dxfId="1">
      <formula>0</formula>
    </cfRule>
    <cfRule type="cellIs" priority="8" operator="between" aboveAverage="0" equalAverage="0" bottom="0" percent="0" rank="0" text="" dxfId="2">
      <formula>0</formula>
      <formula>30</formula>
    </cfRule>
  </conditionalFormatting>
  <dataValidations count="2">
    <dataValidation allowBlank="true" errorStyle="stop" operator="between" showDropDown="false" showErrorMessage="false" showInputMessage="false" sqref="G2:K200" type="list">
      <formula1>"あり,なし"</formula1>
      <formula2>0</formula2>
    </dataValidation>
    <dataValidation allowBlank="true" errorStyle="stop" operator="between" showDropDown="false" showErrorMessage="false" showInputMessage="false" sqref="P2:P200" type="list">
      <formula1>"商談中,契約中,休止,解約"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5C"/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53</v>
      </c>
    </row>
    <row r="3" customFormat="false" ht="15" hidden="false" customHeight="false" outlineLevel="0" collapsed="false">
      <c r="A3" s="14" t="s">
        <v>54</v>
      </c>
    </row>
    <row r="4" customFormat="false" ht="15" hidden="false" customHeight="false" outlineLevel="0" collapsed="false">
      <c r="A4" s="15" t="s">
        <v>55</v>
      </c>
      <c r="B4" s="16" t="n">
        <f aca="false">COUNTIF(顧客一覧!P:P,"商談中")</f>
        <v>1</v>
      </c>
    </row>
    <row r="5" customFormat="false" ht="15" hidden="false" customHeight="false" outlineLevel="0" collapsed="false">
      <c r="A5" s="15" t="s">
        <v>56</v>
      </c>
      <c r="B5" s="16" t="n">
        <f aca="false">COUNTIF(顧客一覧!P:P,"契約中")</f>
        <v>1</v>
      </c>
    </row>
    <row r="6" customFormat="false" ht="15" hidden="false" customHeight="false" outlineLevel="0" collapsed="false">
      <c r="A6" s="15" t="s">
        <v>57</v>
      </c>
      <c r="B6" s="16" t="n">
        <f aca="false">COUNTIF(顧客一覧!P:P,"休止")</f>
        <v>0</v>
      </c>
    </row>
    <row r="7" customFormat="false" ht="15" hidden="false" customHeight="false" outlineLevel="0" collapsed="false">
      <c r="A7" s="15" t="s">
        <v>58</v>
      </c>
      <c r="B7" s="16" t="n">
        <f aca="false">COUNTIF(顧客一覧!P:P,"解約")</f>
        <v>0</v>
      </c>
    </row>
    <row r="9" customFormat="false" ht="15" hidden="false" customHeight="false" outlineLevel="0" collapsed="false">
      <c r="A9" s="14" t="s">
        <v>59</v>
      </c>
    </row>
    <row r="10" customFormat="false" ht="15" hidden="false" customHeight="false" outlineLevel="0" collapsed="false">
      <c r="A10" s="11" t="s">
        <v>20</v>
      </c>
      <c r="B10" s="16" t="n">
        <f aca="false">COUNTIFS(顧客一覧!G:G,"あり",顧客一覧!P:P,"契約中")</f>
        <v>1</v>
      </c>
    </row>
    <row r="11" customFormat="false" ht="15" hidden="false" customHeight="false" outlineLevel="0" collapsed="false">
      <c r="A11" s="11" t="s">
        <v>60</v>
      </c>
      <c r="B11" s="16" t="n">
        <f aca="false">COUNTIFS(顧客一覧!H:H,"あり",顧客一覧!P:P,"契約中")</f>
        <v>1</v>
      </c>
    </row>
    <row r="12" customFormat="false" ht="15" hidden="false" customHeight="false" outlineLevel="0" collapsed="false">
      <c r="A12" s="11" t="s">
        <v>61</v>
      </c>
      <c r="B12" s="16" t="n">
        <f aca="false">COUNTIFS(顧客一覧!I:I,"あり",顧客一覧!P:P,"契約中")</f>
        <v>0</v>
      </c>
    </row>
    <row r="13" customFormat="false" ht="15" hidden="false" customHeight="false" outlineLevel="0" collapsed="false">
      <c r="A13" s="11" t="s">
        <v>62</v>
      </c>
      <c r="B13" s="16" t="n">
        <f aca="false">COUNTIFS(顧客一覧!J:J,"あり",顧客一覧!P:P,"契約中")</f>
        <v>0</v>
      </c>
    </row>
    <row r="14" customFormat="false" ht="15" hidden="false" customHeight="false" outlineLevel="0" collapsed="false">
      <c r="A14" s="11" t="s">
        <v>63</v>
      </c>
      <c r="B14" s="16" t="n">
        <f aca="false">COUNTIFS(顧客一覧!K:K,"あり",顧客一覧!P:P,"契約中")</f>
        <v>0</v>
      </c>
    </row>
    <row r="16" customFormat="false" ht="15" hidden="false" customHeight="false" outlineLevel="0" collapsed="false">
      <c r="A16" s="14" t="s">
        <v>64</v>
      </c>
    </row>
    <row r="17" customFormat="false" ht="14.15" hidden="false" customHeight="false" outlineLevel="0" collapsed="false">
      <c r="A17" s="15" t="s">
        <v>65</v>
      </c>
      <c r="B17" s="17" t="n">
        <f aca="false">SUMIF(顧客一覧!P:P,"契約中",顧客一覧!L:L)</f>
        <v>60000</v>
      </c>
    </row>
    <row r="18" customFormat="false" ht="15" hidden="false" customHeight="false" outlineLevel="0" collapsed="false">
      <c r="A18" s="11" t="s">
        <v>66</v>
      </c>
      <c r="B18" s="16" t="n">
        <f aca="false">COUNTIFS(顧客一覧!P:P,"契約中",顧客一覧!O:O,"&gt;=0",顧客一覧!O:O,"&lt;=30")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2026-08-04T02:27:54Z</dcterms:created>
  <dc:creator>openpyxl</dc:creator>
  <dc:description/>
  <dc:language>en-US</dc:language>
  <cp:lastModifiedBy/>
  <dcterms:modified xsi:type="dcterms:W3CDTF">2026-08-04T02:27:54Z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