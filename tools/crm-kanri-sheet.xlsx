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顧客一覧" sheetId="2" state="visible" r:id="rId4"/>
    <sheet name="サマリー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<sst xmlns="http://schemas.openxmlformats.org/spreadsheetml/2006/main" count="52" uniqueCount="52">
  <si>
    <r>
      <rPr>
        <b val="true"/>
        <sz val="14"/>
        <rFont val="Arial"/>
        <family val="0"/>
        <charset val="1"/>
      </rPr>
      <t xml:space="preserve">MEO</t>
    </r>
    <r>
      <rPr>
        <b val="true"/>
        <sz val="14"/>
        <rFont val="WenQuanYi Zen Hei"/>
        <family val="2"/>
      </rPr>
      <t xml:space="preserve">対策クライアント管理シート 使い方</t>
    </r>
  </si>
  <si>
    <r>
      <rPr>
        <sz val="10"/>
        <rFont val="WenQuanYi Zen Hei"/>
        <family val="2"/>
      </rPr>
      <t xml:space="preserve">有料</t>
    </r>
    <r>
      <rPr>
        <sz val="10"/>
        <rFont val="Arial"/>
        <family val="0"/>
        <charset val="1"/>
      </rPr>
      <t xml:space="preserve">CRM</t>
    </r>
    <r>
      <rPr>
        <sz val="10"/>
        <rFont val="WenQuanYi Zen Hei"/>
        <family val="2"/>
      </rPr>
      <t xml:space="preserve">ツールを使わずにクライアント管理を行うための無料の自作シートです。</t>
    </r>
  </si>
  <si>
    <t xml:space="preserve">【使い方】</t>
  </si>
  <si>
    <r>
      <rPr>
        <sz val="10"/>
        <rFont val="Arial"/>
        <family val="0"/>
        <charset val="1"/>
      </rPr>
      <t xml:space="preserve">1. </t>
    </r>
    <r>
      <rPr>
        <sz val="10"/>
        <rFont val="WenQuanYi Zen Hei"/>
        <family val="2"/>
      </rPr>
      <t xml:space="preserve">「顧客一覧」シートに新規契約が決まったら</t>
    </r>
    <r>
      <rPr>
        <sz val="10"/>
        <rFont val="Arial"/>
        <family val="0"/>
        <charset val="1"/>
      </rPr>
      <t xml:space="preserve">1</t>
    </r>
    <r>
      <rPr>
        <sz val="10"/>
        <rFont val="WenQuanYi Zen Hei"/>
        <family val="2"/>
      </rPr>
      <t xml:space="preserve">行追加する（青字セルが入力例）。</t>
    </r>
  </si>
  <si>
    <r>
      <rPr>
        <sz val="10"/>
        <rFont val="Arial"/>
        <family val="0"/>
        <charset val="1"/>
      </rPr>
      <t xml:space="preserve">2. </t>
    </r>
    <r>
      <rPr>
        <sz val="10"/>
        <rFont val="WenQuanYi Zen Hei"/>
        <family val="2"/>
      </rPr>
      <t xml:space="preserve">契約終了日を入れると「残り日数」が自動計算され、</t>
    </r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日以内はオレンジ、期限切れはピンクで表示される。</t>
    </r>
  </si>
  <si>
    <r>
      <rPr>
        <sz val="10"/>
        <rFont val="Arial"/>
        <family val="0"/>
        <charset val="1"/>
      </rPr>
      <t xml:space="preserve">3. </t>
    </r>
    <r>
      <rPr>
        <sz val="10"/>
        <rFont val="WenQuanYi Zen Hei"/>
        <family val="2"/>
      </rPr>
      <t xml:space="preserve">ステータス・</t>
    </r>
    <r>
      <rPr>
        <sz val="10"/>
        <rFont val="Arial"/>
        <family val="0"/>
        <charset val="1"/>
      </rPr>
      <t xml:space="preserve">GBP</t>
    </r>
    <r>
      <rPr>
        <sz val="10"/>
        <rFont val="WenQuanYi Zen Hei"/>
        <family val="2"/>
      </rPr>
      <t xml:space="preserve">アクセス権はプルダウンから選択する。</t>
    </r>
  </si>
  <si>
    <r>
      <rPr>
        <sz val="10"/>
        <rFont val="Arial"/>
        <family val="0"/>
        <charset val="1"/>
      </rPr>
      <t xml:space="preserve">4. </t>
    </r>
    <r>
      <rPr>
        <sz val="10"/>
        <rFont val="WenQuanYi Zen Hei"/>
        <family val="2"/>
      </rPr>
      <t xml:space="preserve">「サマリー」シートでステータス別件数と契約中の合計月額（</t>
    </r>
    <r>
      <rPr>
        <sz val="10"/>
        <rFont val="Arial"/>
        <family val="0"/>
        <charset val="1"/>
      </rPr>
      <t xml:space="preserve">MRR</t>
    </r>
    <r>
      <rPr>
        <sz val="10"/>
        <rFont val="WenQuanYi Zen Hei"/>
        <family val="2"/>
      </rPr>
      <t xml:space="preserve">）が自動集計される。</t>
    </r>
  </si>
  <si>
    <t xml:space="preserve">【運用の目安】</t>
  </si>
  <si>
    <r>
      <rPr>
        <sz val="10"/>
        <rFont val="WenQuanYi Zen Hei"/>
        <family val="2"/>
      </rPr>
      <t xml:space="preserve">・案件が</t>
    </r>
    <r>
      <rPr>
        <sz val="10"/>
        <rFont val="Arial"/>
        <family val="0"/>
        <charset val="1"/>
      </rPr>
      <t xml:space="preserve">20</t>
    </r>
    <r>
      <rPr>
        <sz val="10"/>
        <rFont val="WenQuanYi Zen Hei"/>
        <family val="2"/>
      </rPr>
      <t xml:space="preserve">件を超えて対応漏れが増えてきたら、有料</t>
    </r>
    <r>
      <rPr>
        <sz val="10"/>
        <rFont val="Arial"/>
        <family val="0"/>
        <charset val="1"/>
      </rPr>
      <t xml:space="preserve">CRM</t>
    </r>
    <r>
      <rPr>
        <sz val="10"/>
        <rFont val="WenQuanYi Zen Hei"/>
        <family val="2"/>
      </rPr>
      <t xml:space="preserve">（</t>
    </r>
    <r>
      <rPr>
        <sz val="10"/>
        <rFont val="Arial"/>
        <family val="0"/>
        <charset val="1"/>
      </rPr>
      <t xml:space="preserve">HubSpot</t>
    </r>
    <r>
      <rPr>
        <sz val="10"/>
        <rFont val="WenQuanYi Zen Hei"/>
        <family val="2"/>
      </rPr>
      <t xml:space="preserve">無料枠等）への移行を検討してください。</t>
    </r>
  </si>
  <si>
    <r>
      <rPr>
        <sz val="10"/>
        <rFont val="WenQuanYi Zen Hei"/>
        <family val="2"/>
      </rPr>
      <t xml:space="preserve">  （</t>
    </r>
    <r>
      <rPr>
        <sz val="10"/>
        <rFont val="Arial"/>
        <family val="0"/>
        <charset val="1"/>
      </rPr>
      <t xml:space="preserve">docs/meo-tools-comparison.md </t>
    </r>
    <r>
      <rPr>
        <sz val="10"/>
        <rFont val="WenQuanYi Zen Hei"/>
        <family val="2"/>
      </rPr>
      <t xml:space="preserve">を参照）</t>
    </r>
  </si>
  <si>
    <t xml:space="preserve">No</t>
  </si>
  <si>
    <r>
      <rPr>
        <b val="true"/>
        <sz val="10"/>
        <color rgb="FFFFFFFF"/>
        <rFont val="WenQuanYi Zen Hei"/>
        <family val="2"/>
      </rPr>
      <t xml:space="preserve">店舗名</t>
    </r>
    <r>
      <rPr>
        <b val="true"/>
        <sz val="10"/>
        <color rgb="FFFFFFFF"/>
        <rFont val="Arial"/>
        <family val="0"/>
        <charset val="1"/>
      </rPr>
      <t xml:space="preserve">/</t>
    </r>
    <r>
      <rPr>
        <b val="true"/>
        <sz val="10"/>
        <color rgb="FFFFFFFF"/>
        <rFont val="WenQuanYi Zen Hei"/>
        <family val="2"/>
      </rPr>
      <t xml:space="preserve">会社名</t>
    </r>
  </si>
  <si>
    <t xml:space="preserve">業種</t>
  </si>
  <si>
    <t xml:space="preserve">担当者名</t>
  </si>
  <si>
    <t xml:space="preserve">電話番号</t>
  </si>
  <si>
    <t xml:space="preserve">メールアドレス</t>
  </si>
  <si>
    <t xml:space="preserve">プラン</t>
  </si>
  <si>
    <t xml:space="preserve">月額料金</t>
  </si>
  <si>
    <t xml:space="preserve">契約開始日</t>
  </si>
  <si>
    <t xml:space="preserve">契約終了日</t>
  </si>
  <si>
    <t xml:space="preserve">残り日数</t>
  </si>
  <si>
    <t xml:space="preserve">ステータス</t>
  </si>
  <si>
    <r>
      <rPr>
        <b val="true"/>
        <sz val="10"/>
        <color rgb="FFFFFFFF"/>
        <rFont val="Arial"/>
        <family val="0"/>
        <charset val="1"/>
      </rPr>
      <t xml:space="preserve">GBP</t>
    </r>
    <r>
      <rPr>
        <b val="true"/>
        <sz val="10"/>
        <color rgb="FFFFFFFF"/>
        <rFont val="WenQuanYi Zen Hei"/>
        <family val="2"/>
      </rPr>
      <t xml:space="preserve">アクセス権</t>
    </r>
  </si>
  <si>
    <t xml:space="preserve">次のアクション</t>
  </si>
  <si>
    <t xml:space="preserve">備考</t>
  </si>
  <si>
    <t xml:space="preserve">【サンプル）渋谷店】</t>
  </si>
  <si>
    <t xml:space="preserve">飲食</t>
  </si>
  <si>
    <t xml:space="preserve">田中様</t>
  </si>
  <si>
    <t xml:space="preserve">03-0000-0000</t>
  </si>
  <si>
    <t xml:space="preserve">tanaka@example.com</t>
  </si>
  <si>
    <t xml:space="preserve">スタンダード</t>
  </si>
  <si>
    <t xml:space="preserve">契約中</t>
  </si>
  <si>
    <t xml:space="preserve">あり</t>
  </si>
  <si>
    <t xml:space="preserve">月次レポート送付</t>
  </si>
  <si>
    <t xml:space="preserve">口コミ返信を毎週実施</t>
  </si>
  <si>
    <t xml:space="preserve">【サンプル）新宿店】</t>
  </si>
  <si>
    <t xml:space="preserve">美容室</t>
  </si>
  <si>
    <t xml:space="preserve">佐藤様</t>
  </si>
  <si>
    <t xml:space="preserve">03-1111-1111</t>
  </si>
  <si>
    <t xml:space="preserve">sato@example.com</t>
  </si>
  <si>
    <t xml:space="preserve">ライト</t>
  </si>
  <si>
    <t xml:space="preserve">商談中</t>
  </si>
  <si>
    <t xml:space="preserve">なし</t>
  </si>
  <si>
    <t xml:space="preserve">見積り再送</t>
  </si>
  <si>
    <t xml:space="preserve">初回ヒアリング済み</t>
  </si>
  <si>
    <t xml:space="preserve">クライアント状況サマリー</t>
  </si>
  <si>
    <t xml:space="preserve">商談中の件数</t>
  </si>
  <si>
    <t xml:space="preserve">契約中の件数</t>
  </si>
  <si>
    <t xml:space="preserve">休止の件数</t>
  </si>
  <si>
    <t xml:space="preserve">解約の件数</t>
  </si>
  <si>
    <r>
      <rPr>
        <sz val="10"/>
        <rFont val="WenQuanYi Zen Hei"/>
        <family val="2"/>
      </rPr>
      <t xml:space="preserve">契約中の合計月額（</t>
    </r>
    <r>
      <rPr>
        <sz val="10"/>
        <rFont val="Arial"/>
        <family val="0"/>
        <charset val="1"/>
      </rPr>
      <t xml:space="preserve">MRR</t>
    </r>
    <r>
      <rPr>
        <sz val="10"/>
        <rFont val="WenQuanYi Zen Hei"/>
        <family val="2"/>
      </rPr>
      <t xml:space="preserve">）</t>
    </r>
  </si>
  <si>
    <r>
      <rPr>
        <sz val="10"/>
        <rFont val="Arial"/>
        <family val="0"/>
        <charset val="1"/>
      </rPr>
      <t xml:space="preserve">30</t>
    </r>
    <r>
      <rPr>
        <sz val="10"/>
        <rFont val="WenQuanYi Zen Hei"/>
        <family val="2"/>
      </rPr>
      <t xml:space="preserve">日以内に契約終了を迎える契約中の件数</t>
    </r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</si>
</sst>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General"/>
    <numFmt numFmtId="167" formatCode="#,##0\円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4"/>
      <name val="WenQuanYi Zen Hei"/>
      <family val="2"/>
    </font>
    <font>
      <sz val="10"/>
      <name val="Arial"/>
      <family val="0"/>
      <charset val="1"/>
    </font>
    <font>
      <sz val="10"/>
      <name val="WenQuanYi Zen Hei"/>
      <family val="2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WenQuanYi Zen Hei"/>
      <family val="2"/>
    </font>
    <font>
      <sz val="10"/>
      <color rgb="FF0000FF"/>
      <name val="Arial"/>
      <family val="0"/>
      <charset val="1"/>
    </font>
    <font>
      <sz val="10"/>
      <color rgb="FF0000FF"/>
      <name val="WenQuanYi Zen Hei"/>
      <family val="2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7A5C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8B4B4"/>
        </patternFill>
      </fill>
    </dxf>
    <dxf>
      <fill>
        <patternFill>
          <bgColor rgb="FFFFE9B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5C"/>
      <rgbColor rgb="FFC0C0C0"/>
      <rgbColor rgb="FF808080"/>
      <rgbColor rgb="FF9999FF"/>
      <rgbColor rgb="FF993366"/>
      <rgbColor rgb="FFFFE9B3"/>
      <rgbColor rgb="FFCCFFFF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B4B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7A5C"/>
    <pageSetUpPr fitToPage="false"/>
  </sheetPr>
  <dimension ref="A1:A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4.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4.15" hidden="false" customHeight="false" outlineLevel="0" collapsed="false">
      <c r="A6" s="2" t="s">
        <v>3</v>
      </c>
    </row>
    <row r="7" customFormat="false" ht="14.15" hidden="false" customHeight="false" outlineLevel="0" collapsed="false">
      <c r="A7" s="2" t="s">
        <v>4</v>
      </c>
    </row>
    <row r="8" customFormat="false" ht="14.15" hidden="false" customHeight="false" outlineLevel="0" collapsed="false">
      <c r="A8" s="2" t="s">
        <v>5</v>
      </c>
    </row>
    <row r="9" customFormat="false" ht="14.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7</v>
      </c>
    </row>
    <row r="12" customFormat="false" ht="14.15" hidden="false" customHeight="false" outlineLevel="0" collapsed="false">
      <c r="A12" s="3" t="s">
        <v>8</v>
      </c>
    </row>
    <row r="13" customFormat="false" ht="14.15" hidden="false" customHeight="false" outlineLevel="0" collapsed="false">
      <c r="A13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7A5C"/>
    <pageSetUpPr fitToPage="false"/>
  </sheetPr>
  <dimension ref="A1:O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10" min="9" style="0" width="12"/>
    <col collapsed="false" customWidth="true" hidden="false" outlineLevel="0" max="13" min="11" style="0" width="10"/>
    <col collapsed="false" customWidth="true" hidden="false" outlineLevel="0" max="14" min="14" style="0" width="20"/>
    <col collapsed="false" customWidth="true" hidden="false" outlineLevel="0" max="15" min="15" style="0" width="24"/>
  </cols>
  <sheetData>
    <row r="1" customFormat="false" ht="30" hidden="false" customHeight="true" outlineLevel="0" collapsed="false">
      <c r="A1" s="4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5" t="s">
        <v>18</v>
      </c>
      <c r="J1" s="5" t="s">
        <v>19</v>
      </c>
      <c r="K1" s="5" t="s">
        <v>20</v>
      </c>
      <c r="L1" s="5" t="s">
        <v>21</v>
      </c>
      <c r="M1" s="4" t="s">
        <v>22</v>
      </c>
      <c r="N1" s="5" t="s">
        <v>23</v>
      </c>
      <c r="O1" s="5" t="s">
        <v>24</v>
      </c>
    </row>
    <row r="2" customFormat="false" ht="15" hidden="false" customHeight="false" outlineLevel="0" collapsed="false">
      <c r="A2" s="6" t="n">
        <v>1</v>
      </c>
      <c r="B2" s="7" t="s">
        <v>25</v>
      </c>
      <c r="C2" s="7" t="s">
        <v>26</v>
      </c>
      <c r="D2" s="7" t="s">
        <v>27</v>
      </c>
      <c r="E2" s="6" t="s">
        <v>28</v>
      </c>
      <c r="F2" s="6" t="s">
        <v>29</v>
      </c>
      <c r="G2" s="7" t="s">
        <v>30</v>
      </c>
      <c r="H2" s="6" t="n">
        <v>30000</v>
      </c>
      <c r="I2" s="8" t="n">
        <v>46174</v>
      </c>
      <c r="J2" s="8" t="n">
        <v>46265</v>
      </c>
      <c r="K2" s="9" t="n">
        <f aca="true">IF(J2="","",J2-TODAY())</f>
        <v>27</v>
      </c>
      <c r="L2" s="7" t="s">
        <v>31</v>
      </c>
      <c r="M2" s="7" t="s">
        <v>32</v>
      </c>
      <c r="N2" s="7" t="s">
        <v>33</v>
      </c>
      <c r="O2" s="7" t="s">
        <v>34</v>
      </c>
    </row>
    <row r="3" customFormat="false" ht="15" hidden="false" customHeight="false" outlineLevel="0" collapsed="false">
      <c r="A3" s="6" t="n">
        <v>2</v>
      </c>
      <c r="B3" s="7" t="s">
        <v>35</v>
      </c>
      <c r="C3" s="7" t="s">
        <v>36</v>
      </c>
      <c r="D3" s="7" t="s">
        <v>37</v>
      </c>
      <c r="E3" s="6" t="s">
        <v>38</v>
      </c>
      <c r="F3" s="6" t="s">
        <v>39</v>
      </c>
      <c r="G3" s="7" t="s">
        <v>40</v>
      </c>
      <c r="H3" s="6" t="n">
        <v>15000</v>
      </c>
      <c r="I3" s="8" t="n">
        <v>46143</v>
      </c>
      <c r="J3" s="8" t="n">
        <v>46234</v>
      </c>
      <c r="K3" s="9" t="n">
        <f aca="true">IF(J3="","",J3-TODAY())</f>
        <v>-4</v>
      </c>
      <c r="L3" s="7" t="s">
        <v>41</v>
      </c>
      <c r="M3" s="7" t="s">
        <v>42</v>
      </c>
      <c r="N3" s="7" t="s">
        <v>43</v>
      </c>
      <c r="O3" s="7" t="s">
        <v>44</v>
      </c>
    </row>
    <row r="4" customFormat="false" ht="15" hidden="false" customHeight="false" outlineLevel="0" collapsed="false">
      <c r="A4" s="10"/>
      <c r="B4" s="10"/>
      <c r="C4" s="10"/>
      <c r="D4" s="10"/>
      <c r="E4" s="10"/>
      <c r="F4" s="10"/>
      <c r="G4" s="10"/>
      <c r="H4" s="10"/>
      <c r="I4" s="11"/>
      <c r="J4" s="11"/>
      <c r="K4" s="10" t="str">
        <f aca="true">IF(J4="","",J4-TODAY())</f>
        <v/>
      </c>
      <c r="L4" s="10"/>
      <c r="M4" s="10"/>
      <c r="N4" s="10"/>
      <c r="O4" s="10"/>
    </row>
    <row r="5" customFormat="false" ht="15" hidden="false" customHeight="false" outlineLevel="0" collapsed="false">
      <c r="A5" s="10"/>
      <c r="B5" s="10"/>
      <c r="C5" s="10"/>
      <c r="D5" s="10"/>
      <c r="E5" s="10"/>
      <c r="F5" s="10"/>
      <c r="G5" s="10"/>
      <c r="H5" s="10"/>
      <c r="I5" s="11"/>
      <c r="J5" s="11"/>
      <c r="K5" s="10" t="str">
        <f aca="true">IF(J5="","",J5-TODAY())</f>
        <v/>
      </c>
      <c r="L5" s="10"/>
      <c r="M5" s="10"/>
      <c r="N5" s="10"/>
      <c r="O5" s="10"/>
    </row>
    <row r="6" customFormat="false" ht="15" hidden="false" customHeight="false" outlineLevel="0" collapsed="false">
      <c r="A6" s="10"/>
      <c r="B6" s="10"/>
      <c r="C6" s="10"/>
      <c r="D6" s="10"/>
      <c r="E6" s="10"/>
      <c r="F6" s="10"/>
      <c r="G6" s="10"/>
      <c r="H6" s="10"/>
      <c r="I6" s="11"/>
      <c r="J6" s="11"/>
      <c r="K6" s="10" t="str">
        <f aca="true">IF(J6="","",J6-TODAY())</f>
        <v/>
      </c>
      <c r="L6" s="10"/>
      <c r="M6" s="10"/>
      <c r="N6" s="10"/>
      <c r="O6" s="10"/>
    </row>
    <row r="7" customFormat="false" ht="15" hidden="false" customHeight="false" outlineLevel="0" collapsed="false">
      <c r="A7" s="10"/>
      <c r="B7" s="10"/>
      <c r="C7" s="10"/>
      <c r="D7" s="10"/>
      <c r="E7" s="10"/>
      <c r="F7" s="10"/>
      <c r="G7" s="10"/>
      <c r="H7" s="10"/>
      <c r="I7" s="11"/>
      <c r="J7" s="11"/>
      <c r="K7" s="10" t="str">
        <f aca="true">IF(J7="","",J7-TODAY())</f>
        <v/>
      </c>
      <c r="L7" s="10"/>
      <c r="M7" s="10"/>
      <c r="N7" s="10"/>
      <c r="O7" s="10"/>
    </row>
    <row r="8" customFormat="false" ht="15" hidden="false" customHeight="false" outlineLevel="0" collapsed="false">
      <c r="A8" s="10"/>
      <c r="B8" s="10"/>
      <c r="C8" s="10"/>
      <c r="D8" s="10"/>
      <c r="E8" s="10"/>
      <c r="F8" s="10"/>
      <c r="G8" s="10"/>
      <c r="H8" s="10"/>
      <c r="I8" s="11"/>
      <c r="J8" s="11"/>
      <c r="K8" s="10" t="str">
        <f aca="true">IF(J8="","",J8-TODAY())</f>
        <v/>
      </c>
      <c r="L8" s="10"/>
      <c r="M8" s="10"/>
      <c r="N8" s="10"/>
      <c r="O8" s="10"/>
    </row>
    <row r="9" customFormat="false" ht="15" hidden="false" customHeight="false" outlineLevel="0" collapsed="false">
      <c r="A9" s="10"/>
      <c r="B9" s="10"/>
      <c r="C9" s="10"/>
      <c r="D9" s="10"/>
      <c r="E9" s="10"/>
      <c r="F9" s="10"/>
      <c r="G9" s="10"/>
      <c r="H9" s="10"/>
      <c r="I9" s="11"/>
      <c r="J9" s="11"/>
      <c r="K9" s="10" t="str">
        <f aca="true">IF(J9="","",J9-TODAY())</f>
        <v/>
      </c>
      <c r="L9" s="10"/>
      <c r="M9" s="10"/>
      <c r="N9" s="10"/>
      <c r="O9" s="10"/>
    </row>
    <row r="10" customFormat="false" ht="15" hidden="false" customHeight="false" outlineLevel="0" collapsed="false">
      <c r="A10" s="10"/>
      <c r="B10" s="10"/>
      <c r="C10" s="10"/>
      <c r="D10" s="10"/>
      <c r="E10" s="10"/>
      <c r="F10" s="10"/>
      <c r="G10" s="10"/>
      <c r="H10" s="10"/>
      <c r="I10" s="11"/>
      <c r="J10" s="11"/>
      <c r="K10" s="10" t="str">
        <f aca="true">IF(J10="","",J10-TODAY())</f>
        <v/>
      </c>
      <c r="L10" s="10"/>
      <c r="M10" s="10"/>
      <c r="N10" s="10"/>
      <c r="O10" s="10"/>
    </row>
    <row r="11" customFormat="false" ht="15" hidden="false" customHeight="false" outlineLevel="0" collapsed="false">
      <c r="A11" s="10"/>
      <c r="B11" s="10"/>
      <c r="C11" s="10"/>
      <c r="D11" s="10"/>
      <c r="E11" s="10"/>
      <c r="F11" s="10"/>
      <c r="G11" s="10"/>
      <c r="H11" s="10"/>
      <c r="I11" s="11"/>
      <c r="J11" s="11"/>
      <c r="K11" s="10" t="str">
        <f aca="true">IF(J11="","",J11-TODAY())</f>
        <v/>
      </c>
      <c r="L11" s="10"/>
      <c r="M11" s="10"/>
      <c r="N11" s="10"/>
      <c r="O11" s="10"/>
    </row>
    <row r="12" customFormat="false" ht="15" hidden="false" customHeight="false" outlineLevel="0" collapsed="false">
      <c r="A12" s="10"/>
      <c r="B12" s="10"/>
      <c r="C12" s="10"/>
      <c r="D12" s="10"/>
      <c r="E12" s="10"/>
      <c r="F12" s="10"/>
      <c r="G12" s="10"/>
      <c r="H12" s="10"/>
      <c r="I12" s="11"/>
      <c r="J12" s="11"/>
      <c r="K12" s="10" t="str">
        <f aca="true">IF(J12="","",J12-TODAY())</f>
        <v/>
      </c>
      <c r="L12" s="10"/>
      <c r="M12" s="10"/>
      <c r="N12" s="10"/>
      <c r="O12" s="10"/>
    </row>
    <row r="13" customFormat="false" ht="15" hidden="false" customHeight="false" outlineLevel="0" collapsed="false">
      <c r="A13" s="10"/>
      <c r="B13" s="10"/>
      <c r="C13" s="10"/>
      <c r="D13" s="10"/>
      <c r="E13" s="10"/>
      <c r="F13" s="10"/>
      <c r="G13" s="10"/>
      <c r="H13" s="10"/>
      <c r="I13" s="11"/>
      <c r="J13" s="11"/>
      <c r="K13" s="10" t="str">
        <f aca="true">IF(J13="","",J13-TODAY())</f>
        <v/>
      </c>
      <c r="L13" s="10"/>
      <c r="M13" s="10"/>
      <c r="N13" s="10"/>
      <c r="O13" s="10"/>
    </row>
    <row r="14" customFormat="false" ht="15" hidden="false" customHeight="false" outlineLevel="0" collapsed="false">
      <c r="A14" s="10"/>
      <c r="B14" s="10"/>
      <c r="C14" s="10"/>
      <c r="D14" s="10"/>
      <c r="E14" s="10"/>
      <c r="F14" s="10"/>
      <c r="G14" s="10"/>
      <c r="H14" s="10"/>
      <c r="I14" s="11"/>
      <c r="J14" s="11"/>
      <c r="K14" s="10" t="str">
        <f aca="true">IF(J14="","",J14-TODAY())</f>
        <v/>
      </c>
      <c r="L14" s="10"/>
      <c r="M14" s="10"/>
      <c r="N14" s="10"/>
      <c r="O14" s="10"/>
    </row>
    <row r="15" customFormat="false" ht="15" hidden="false" customHeight="false" outlineLevel="0" collapsed="false">
      <c r="A15" s="10"/>
      <c r="B15" s="10"/>
      <c r="C15" s="10"/>
      <c r="D15" s="10"/>
      <c r="E15" s="10"/>
      <c r="F15" s="10"/>
      <c r="G15" s="10"/>
      <c r="H15" s="10"/>
      <c r="I15" s="11"/>
      <c r="J15" s="11"/>
      <c r="K15" s="10" t="str">
        <f aca="true">IF(J15="","",J15-TODAY())</f>
        <v/>
      </c>
      <c r="L15" s="10"/>
      <c r="M15" s="10"/>
      <c r="N15" s="10"/>
      <c r="O15" s="10"/>
    </row>
    <row r="16" customFormat="false" ht="15" hidden="false" customHeight="false" outlineLevel="0" collapsed="false">
      <c r="A16" s="10"/>
      <c r="B16" s="10"/>
      <c r="C16" s="10"/>
      <c r="D16" s="10"/>
      <c r="E16" s="10"/>
      <c r="F16" s="10"/>
      <c r="G16" s="10"/>
      <c r="H16" s="10"/>
      <c r="I16" s="11"/>
      <c r="J16" s="11"/>
      <c r="K16" s="10" t="str">
        <f aca="true">IF(J16="","",J16-TODAY())</f>
        <v/>
      </c>
      <c r="L16" s="10"/>
      <c r="M16" s="10"/>
      <c r="N16" s="10"/>
      <c r="O16" s="10"/>
    </row>
    <row r="17" customFormat="false" ht="15" hidden="false" customHeight="false" outlineLevel="0" collapsed="false">
      <c r="A17" s="10"/>
      <c r="B17" s="10"/>
      <c r="C17" s="10"/>
      <c r="D17" s="10"/>
      <c r="E17" s="10"/>
      <c r="F17" s="10"/>
      <c r="G17" s="10"/>
      <c r="H17" s="10"/>
      <c r="I17" s="11"/>
      <c r="J17" s="11"/>
      <c r="K17" s="10" t="str">
        <f aca="true">IF(J17="","",J17-TODAY())</f>
        <v/>
      </c>
      <c r="L17" s="10"/>
      <c r="M17" s="10"/>
      <c r="N17" s="10"/>
      <c r="O17" s="10"/>
    </row>
    <row r="18" customFormat="false" ht="15" hidden="false" customHeight="false" outlineLevel="0" collapsed="false">
      <c r="A18" s="10"/>
      <c r="B18" s="10"/>
      <c r="C18" s="10"/>
      <c r="D18" s="10"/>
      <c r="E18" s="10"/>
      <c r="F18" s="10"/>
      <c r="G18" s="10"/>
      <c r="H18" s="10"/>
      <c r="I18" s="11"/>
      <c r="J18" s="11"/>
      <c r="K18" s="10" t="str">
        <f aca="true">IF(J18="","",J18-TODAY())</f>
        <v/>
      </c>
      <c r="L18" s="10"/>
      <c r="M18" s="10"/>
      <c r="N18" s="10"/>
      <c r="O18" s="10"/>
    </row>
    <row r="19" customFormat="false" ht="15" hidden="false" customHeight="false" outlineLevel="0" collapsed="false">
      <c r="A19" s="10"/>
      <c r="B19" s="10"/>
      <c r="C19" s="10"/>
      <c r="D19" s="10"/>
      <c r="E19" s="10"/>
      <c r="F19" s="10"/>
      <c r="G19" s="10"/>
      <c r="H19" s="10"/>
      <c r="I19" s="11"/>
      <c r="J19" s="11"/>
      <c r="K19" s="10" t="str">
        <f aca="true">IF(J19="","",J19-TODAY())</f>
        <v/>
      </c>
      <c r="L19" s="10"/>
      <c r="M19" s="10"/>
      <c r="N19" s="10"/>
      <c r="O19" s="10"/>
    </row>
    <row r="20" customFormat="false" ht="15" hidden="false" customHeight="false" outlineLevel="0" collapsed="false">
      <c r="A20" s="10"/>
      <c r="B20" s="10"/>
      <c r="C20" s="10"/>
      <c r="D20" s="10"/>
      <c r="E20" s="10"/>
      <c r="F20" s="10"/>
      <c r="G20" s="10"/>
      <c r="H20" s="10"/>
      <c r="I20" s="11"/>
      <c r="J20" s="11"/>
      <c r="K20" s="10" t="str">
        <f aca="true">IF(J20="","",J20-TODAY())</f>
        <v/>
      </c>
      <c r="L20" s="10"/>
      <c r="M20" s="10"/>
      <c r="N20" s="10"/>
      <c r="O20" s="10"/>
    </row>
    <row r="21" customFormat="false" ht="15" hidden="false" customHeight="false" outlineLevel="0" collapsed="false">
      <c r="A21" s="10"/>
      <c r="B21" s="10"/>
      <c r="C21" s="10"/>
      <c r="D21" s="10"/>
      <c r="E21" s="10"/>
      <c r="F21" s="10"/>
      <c r="G21" s="10"/>
      <c r="H21" s="10"/>
      <c r="I21" s="11"/>
      <c r="J21" s="11"/>
      <c r="K21" s="10" t="str">
        <f aca="true">IF(J21="","",J21-TODAY())</f>
        <v/>
      </c>
      <c r="L21" s="10"/>
      <c r="M21" s="10"/>
      <c r="N21" s="10"/>
      <c r="O21" s="10"/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1"/>
      <c r="J22" s="11"/>
      <c r="K22" s="10" t="str">
        <f aca="true">IF(J22="","",J22-TODAY())</f>
        <v/>
      </c>
      <c r="L22" s="10"/>
      <c r="M22" s="10"/>
      <c r="N22" s="10"/>
      <c r="O22" s="10"/>
    </row>
    <row r="23" customFormat="false" ht="15" hidden="false" customHeight="false" outlineLevel="0" collapsed="false">
      <c r="A23" s="10"/>
      <c r="B23" s="10"/>
      <c r="C23" s="10"/>
      <c r="D23" s="10"/>
      <c r="E23" s="10"/>
      <c r="F23" s="10"/>
      <c r="G23" s="10"/>
      <c r="H23" s="10"/>
      <c r="I23" s="11"/>
      <c r="J23" s="11"/>
      <c r="K23" s="10" t="str">
        <f aca="true">IF(J23="","",J23-TODAY())</f>
        <v/>
      </c>
      <c r="L23" s="10"/>
      <c r="M23" s="10"/>
      <c r="N23" s="10"/>
      <c r="O23" s="10"/>
    </row>
    <row r="24" customFormat="false" ht="15" hidden="false" customHeight="false" outlineLevel="0" collapsed="false">
      <c r="A24" s="10"/>
      <c r="B24" s="10"/>
      <c r="C24" s="10"/>
      <c r="D24" s="10"/>
      <c r="E24" s="10"/>
      <c r="F24" s="10"/>
      <c r="G24" s="10"/>
      <c r="H24" s="10"/>
      <c r="I24" s="11"/>
      <c r="J24" s="11"/>
      <c r="K24" s="10" t="str">
        <f aca="true">IF(J24="","",J24-TODAY())</f>
        <v/>
      </c>
      <c r="L24" s="10"/>
      <c r="M24" s="10"/>
      <c r="N24" s="10"/>
      <c r="O24" s="10"/>
    </row>
    <row r="25" customFormat="false" ht="15" hidden="false" customHeight="false" outlineLevel="0" collapsed="false">
      <c r="A25" s="10"/>
      <c r="B25" s="10"/>
      <c r="C25" s="10"/>
      <c r="D25" s="10"/>
      <c r="E25" s="10"/>
      <c r="F25" s="10"/>
      <c r="G25" s="10"/>
      <c r="H25" s="10"/>
      <c r="I25" s="11"/>
      <c r="J25" s="11"/>
      <c r="K25" s="10" t="str">
        <f aca="true">IF(J25="","",J25-TODAY())</f>
        <v/>
      </c>
      <c r="L25" s="10"/>
      <c r="M25" s="10"/>
      <c r="N25" s="10"/>
      <c r="O25" s="10"/>
    </row>
    <row r="26" customFormat="false" ht="15" hidden="false" customHeight="false" outlineLevel="0" collapsed="false">
      <c r="A26" s="10"/>
      <c r="B26" s="10"/>
      <c r="C26" s="10"/>
      <c r="D26" s="10"/>
      <c r="E26" s="10"/>
      <c r="F26" s="10"/>
      <c r="G26" s="10"/>
      <c r="H26" s="10"/>
      <c r="I26" s="11"/>
      <c r="J26" s="11"/>
      <c r="K26" s="10" t="str">
        <f aca="true">IF(J26="","",J26-TODAY())</f>
        <v/>
      </c>
      <c r="L26" s="10"/>
      <c r="M26" s="10"/>
      <c r="N26" s="10"/>
      <c r="O26" s="10"/>
    </row>
    <row r="27" customFormat="false" ht="15" hidden="false" customHeight="false" outlineLevel="0" collapsed="false">
      <c r="A27" s="10"/>
      <c r="B27" s="10"/>
      <c r="C27" s="10"/>
      <c r="D27" s="10"/>
      <c r="E27" s="10"/>
      <c r="F27" s="10"/>
      <c r="G27" s="10"/>
      <c r="H27" s="10"/>
      <c r="I27" s="11"/>
      <c r="J27" s="11"/>
      <c r="K27" s="10" t="str">
        <f aca="true">IF(J27="","",J27-TODAY())</f>
        <v/>
      </c>
      <c r="L27" s="10"/>
      <c r="M27" s="10"/>
      <c r="N27" s="10"/>
      <c r="O27" s="10"/>
    </row>
    <row r="28" customFormat="false" ht="15" hidden="false" customHeight="false" outlineLevel="0" collapsed="false">
      <c r="A28" s="10"/>
      <c r="B28" s="10"/>
      <c r="C28" s="10"/>
      <c r="D28" s="10"/>
      <c r="E28" s="10"/>
      <c r="F28" s="10"/>
      <c r="G28" s="10"/>
      <c r="H28" s="10"/>
      <c r="I28" s="11"/>
      <c r="J28" s="11"/>
      <c r="K28" s="10" t="str">
        <f aca="true">IF(J28="","",J28-TODAY())</f>
        <v/>
      </c>
      <c r="L28" s="10"/>
      <c r="M28" s="10"/>
      <c r="N28" s="10"/>
      <c r="O28" s="10"/>
    </row>
    <row r="29" customFormat="false" ht="15" hidden="false" customHeight="false" outlineLevel="0" collapsed="false">
      <c r="A29" s="10"/>
      <c r="B29" s="10"/>
      <c r="C29" s="10"/>
      <c r="D29" s="10"/>
      <c r="E29" s="10"/>
      <c r="F29" s="10"/>
      <c r="G29" s="10"/>
      <c r="H29" s="10"/>
      <c r="I29" s="11"/>
      <c r="J29" s="11"/>
      <c r="K29" s="10" t="str">
        <f aca="true">IF(J29="","",J29-TODAY())</f>
        <v/>
      </c>
      <c r="L29" s="10"/>
      <c r="M29" s="10"/>
      <c r="N29" s="10"/>
      <c r="O29" s="10"/>
    </row>
    <row r="30" customFormat="false" ht="15" hidden="false" customHeight="false" outlineLevel="0" collapsed="false">
      <c r="A30" s="10"/>
      <c r="B30" s="10"/>
      <c r="C30" s="10"/>
      <c r="D30" s="10"/>
      <c r="E30" s="10"/>
      <c r="F30" s="10"/>
      <c r="G30" s="10"/>
      <c r="H30" s="10"/>
      <c r="I30" s="11"/>
      <c r="J30" s="11"/>
      <c r="K30" s="10" t="str">
        <f aca="true">IF(J30="","",J30-TODAY())</f>
        <v/>
      </c>
      <c r="L30" s="10"/>
      <c r="M30" s="10"/>
      <c r="N30" s="10"/>
      <c r="O30" s="10"/>
    </row>
    <row r="31" customFormat="false" ht="15" hidden="false" customHeight="false" outlineLevel="0" collapsed="false">
      <c r="A31" s="10"/>
      <c r="B31" s="10"/>
      <c r="C31" s="10"/>
      <c r="D31" s="10"/>
      <c r="E31" s="10"/>
      <c r="F31" s="10"/>
      <c r="G31" s="10"/>
      <c r="H31" s="10"/>
      <c r="I31" s="11"/>
      <c r="J31" s="11"/>
      <c r="K31" s="10" t="str">
        <f aca="true">IF(J31="","",J31-TODAY())</f>
        <v/>
      </c>
      <c r="L31" s="10"/>
      <c r="M31" s="10"/>
      <c r="N31" s="10"/>
      <c r="O31" s="10"/>
    </row>
    <row r="32" customFormat="false" ht="15" hidden="false" customHeight="false" outlineLevel="0" collapsed="false">
      <c r="A32" s="10"/>
      <c r="B32" s="10"/>
      <c r="C32" s="10"/>
      <c r="D32" s="10"/>
      <c r="E32" s="10"/>
      <c r="F32" s="10"/>
      <c r="G32" s="10"/>
      <c r="H32" s="10"/>
      <c r="I32" s="11"/>
      <c r="J32" s="11"/>
      <c r="K32" s="10" t="str">
        <f aca="true">IF(J32="","",J32-TODAY())</f>
        <v/>
      </c>
      <c r="L32" s="10"/>
      <c r="M32" s="10"/>
      <c r="N32" s="10"/>
      <c r="O32" s="10"/>
    </row>
    <row r="33" customFormat="false" ht="15" hidden="false" customHeight="false" outlineLevel="0" collapsed="false">
      <c r="A33" s="10"/>
      <c r="B33" s="10"/>
      <c r="C33" s="10"/>
      <c r="D33" s="10"/>
      <c r="E33" s="10"/>
      <c r="F33" s="10"/>
      <c r="G33" s="10"/>
      <c r="H33" s="10"/>
      <c r="I33" s="11"/>
      <c r="J33" s="11"/>
      <c r="K33" s="10" t="str">
        <f aca="true">IF(J33="","",J33-TODAY())</f>
        <v/>
      </c>
      <c r="L33" s="10"/>
      <c r="M33" s="10"/>
      <c r="N33" s="10"/>
      <c r="O33" s="10"/>
    </row>
    <row r="34" customFormat="false" ht="15" hidden="false" customHeight="false" outlineLevel="0" collapsed="false">
      <c r="A34" s="10"/>
      <c r="B34" s="10"/>
      <c r="C34" s="10"/>
      <c r="D34" s="10"/>
      <c r="E34" s="10"/>
      <c r="F34" s="10"/>
      <c r="G34" s="10"/>
      <c r="H34" s="10"/>
      <c r="I34" s="11"/>
      <c r="J34" s="11"/>
      <c r="K34" s="10" t="str">
        <f aca="true">IF(J34="","",J34-TODAY())</f>
        <v/>
      </c>
      <c r="L34" s="10"/>
      <c r="M34" s="10"/>
      <c r="N34" s="10"/>
      <c r="O34" s="10"/>
    </row>
    <row r="35" customFormat="false" ht="15" hidden="false" customHeight="false" outlineLevel="0" collapsed="false">
      <c r="A35" s="10"/>
      <c r="B35" s="10"/>
      <c r="C35" s="10"/>
      <c r="D35" s="10"/>
      <c r="E35" s="10"/>
      <c r="F35" s="10"/>
      <c r="G35" s="10"/>
      <c r="H35" s="10"/>
      <c r="I35" s="11"/>
      <c r="J35" s="11"/>
      <c r="K35" s="10" t="str">
        <f aca="true">IF(J35="","",J35-TODAY())</f>
        <v/>
      </c>
      <c r="L35" s="10"/>
      <c r="M35" s="10"/>
      <c r="N35" s="10"/>
      <c r="O35" s="10"/>
    </row>
    <row r="36" customFormat="false" ht="15" hidden="false" customHeight="false" outlineLevel="0" collapsed="false">
      <c r="A36" s="10"/>
      <c r="B36" s="10"/>
      <c r="C36" s="10"/>
      <c r="D36" s="10"/>
      <c r="E36" s="10"/>
      <c r="F36" s="10"/>
      <c r="G36" s="10"/>
      <c r="H36" s="10"/>
      <c r="I36" s="11"/>
      <c r="J36" s="11"/>
      <c r="K36" s="10" t="str">
        <f aca="true">IF(J36="","",J36-TODAY())</f>
        <v/>
      </c>
      <c r="L36" s="10"/>
      <c r="M36" s="10"/>
      <c r="N36" s="10"/>
      <c r="O36" s="10"/>
    </row>
    <row r="37" customFormat="false" ht="15" hidden="false" customHeight="false" outlineLevel="0" collapsed="false">
      <c r="A37" s="10"/>
      <c r="B37" s="10"/>
      <c r="C37" s="10"/>
      <c r="D37" s="10"/>
      <c r="E37" s="10"/>
      <c r="F37" s="10"/>
      <c r="G37" s="10"/>
      <c r="H37" s="10"/>
      <c r="I37" s="11"/>
      <c r="J37" s="11"/>
      <c r="K37" s="10" t="str">
        <f aca="true">IF(J37="","",J37-TODAY())</f>
        <v/>
      </c>
      <c r="L37" s="10"/>
      <c r="M37" s="10"/>
      <c r="N37" s="10"/>
      <c r="O37" s="10"/>
    </row>
    <row r="38" customFormat="false" ht="15" hidden="false" customHeight="false" outlineLevel="0" collapsed="false">
      <c r="A38" s="10"/>
      <c r="B38" s="10"/>
      <c r="C38" s="10"/>
      <c r="D38" s="10"/>
      <c r="E38" s="10"/>
      <c r="F38" s="10"/>
      <c r="G38" s="10"/>
      <c r="H38" s="10"/>
      <c r="I38" s="11"/>
      <c r="J38" s="11"/>
      <c r="K38" s="10" t="str">
        <f aca="true">IF(J38="","",J38-TODAY())</f>
        <v/>
      </c>
      <c r="L38" s="10"/>
      <c r="M38" s="10"/>
      <c r="N38" s="10"/>
      <c r="O38" s="10"/>
    </row>
    <row r="39" customFormat="false" ht="15" hidden="false" customHeight="false" outlineLevel="0" collapsed="false">
      <c r="A39" s="10"/>
      <c r="B39" s="10"/>
      <c r="C39" s="10"/>
      <c r="D39" s="10"/>
      <c r="E39" s="10"/>
      <c r="F39" s="10"/>
      <c r="G39" s="10"/>
      <c r="H39" s="10"/>
      <c r="I39" s="11"/>
      <c r="J39" s="11"/>
      <c r="K39" s="10" t="str">
        <f aca="true">IF(J39="","",J39-TODAY())</f>
        <v/>
      </c>
      <c r="L39" s="10"/>
      <c r="M39" s="10"/>
      <c r="N39" s="10"/>
      <c r="O39" s="10"/>
    </row>
  </sheetData>
  <conditionalFormatting sqref="K2:K200">
    <cfRule type="cellIs" priority="2" operator="lessThan" aboveAverage="0" equalAverage="0" bottom="0" percent="0" rank="0" text="" dxfId="0">
      <formula>0</formula>
    </cfRule>
    <cfRule type="cellIs" priority="3" operator="between" aboveAverage="0" equalAverage="0" bottom="0" percent="0" rank="0" text="" dxfId="1">
      <formula>0</formula>
      <formula>30</formula>
    </cfRule>
  </conditionalFormatting>
  <dataValidations count="2">
    <dataValidation allowBlank="true" errorStyle="stop" operator="between" showDropDown="false" showErrorMessage="false" showInputMessage="false" sqref="L2:L200" type="list">
      <formula1>"商談中,契約中,休止,解約"</formula1>
      <formula2>0</formula2>
    </dataValidation>
    <dataValidation allowBlank="true" errorStyle="stop" operator="between" showDropDown="false" showErrorMessage="false" showInputMessage="false" sqref="M2:M200" type="list">
      <formula1>"あり,なし"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7A5C"/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6"/>
  </cols>
  <sheetData>
    <row r="1" customFormat="false" ht="17.35" hidden="false" customHeight="false" outlineLevel="0" collapsed="false">
      <c r="A1" s="12" t="s">
        <v>45</v>
      </c>
    </row>
    <row r="3" customFormat="false" ht="15" hidden="false" customHeight="false" outlineLevel="0" collapsed="false">
      <c r="A3" s="13" t="s">
        <v>46</v>
      </c>
      <c r="B3" s="14" t="n">
        <f aca="false">COUNTIF(顧客一覧!L:L,"商談中")</f>
        <v>1</v>
      </c>
    </row>
    <row r="4" customFormat="false" ht="15" hidden="false" customHeight="false" outlineLevel="0" collapsed="false">
      <c r="A4" s="13" t="s">
        <v>47</v>
      </c>
      <c r="B4" s="14" t="n">
        <f aca="false">COUNTIF(顧客一覧!L:L,"契約中")</f>
        <v>1</v>
      </c>
    </row>
    <row r="5" customFormat="false" ht="15" hidden="false" customHeight="false" outlineLevel="0" collapsed="false">
      <c r="A5" s="13" t="s">
        <v>48</v>
      </c>
      <c r="B5" s="14" t="n">
        <f aca="false">COUNTIF(顧客一覧!L:L,"休止")</f>
        <v>0</v>
      </c>
    </row>
    <row r="6" customFormat="false" ht="15" hidden="false" customHeight="false" outlineLevel="0" collapsed="false">
      <c r="A6" s="13" t="s">
        <v>49</v>
      </c>
      <c r="B6" s="14" t="n">
        <f aca="false">COUNTIF(顧客一覧!L:L,"解約")</f>
        <v>0</v>
      </c>
    </row>
    <row r="7" customFormat="false" ht="14.15" hidden="false" customHeight="false" outlineLevel="0" collapsed="false">
      <c r="A7" s="13" t="s">
        <v>50</v>
      </c>
      <c r="B7" s="15" t="n">
        <f aca="false">SUMIF(顧客一覧!L:L,"契約中",顧客一覧!H:H)</f>
        <v>30000</v>
      </c>
    </row>
    <row r="8" customFormat="false" ht="15" hidden="false" customHeight="false" outlineLevel="0" collapsed="false">
      <c r="A8" s="10" t="s">
        <v>51</v>
      </c>
      <c r="B8" s="14" t="n">
        <f aca="false">COUNTIFS(顧客一覧!L:L,"契約中",顧客一覧!K:K,"&gt;=0",顧客一覧!K:K,"&lt;=30")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2026-08-04T01:43:38Z</dcterms:created>
  <dc:creator>openpyxl</dc:creator>
  <dc:description/>
  <dc:language>en-US</dc:language>
  <cp:lastModifiedBy/>
  <dcterms:modified xsi:type="dcterms:W3CDTF">2026-08-04T01:43:38Z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