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見積書" sheetId="2" state="visible" r:id="rId4"/>
    <sheet name="請求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<sst xmlns="http://schemas.openxmlformats.org/spreadsheetml/2006/main" count="75" uniqueCount="46">
  <si>
    <t xml:space="preserve">見積書・請求書 自動計算シート 使い方</t>
  </si>
  <si>
    <t xml:space="preserve">会計ソフトを使わずに見積書・請求書を作成できる無料の自作シートです。数量・単価を入れると自動で計算されます。</t>
  </si>
  <si>
    <t xml:space="preserve">【使い方】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</si>
  <si>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「発行者情報」欄（青字）に自社の会社名・住所・インボイス登録番号・振込先を入力する（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回入力すれば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</si>
  <si>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案件ごとに「見積書」または「請求書」シートをコピーして使う（タブを右クリック→移動またはコピー）。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</si>
  <si>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品目・数量・単価を入力すると、金額・小計・消費税・合計が自動計算される。</t>
    </r>
  </si>
  <si>
    <t xml:space="preserve">【運用の目安】</t>
  </si>
  <si>
    <r>
      <rPr>
        <sz val="10"/>
        <rFont val="WenQuanYi Zen Hei"/>
        <family val="2"/>
      </rPr>
      <t xml:space="preserve">・月間の発行件数が増えて手作業が負担になったら、</t>
    </r>
    <r>
      <rPr>
        <sz val="10"/>
        <rFont val="Arial"/>
        <family val="0"/>
        <charset val="1"/>
      </rPr>
      <t xml:space="preserve">freee</t>
    </r>
    <r>
      <rPr>
        <sz val="10"/>
        <rFont val="WenQuanYi Zen Hei"/>
        <family val="2"/>
      </rPr>
      <t xml:space="preserve">等の会計ソフト導入を検討してください。</t>
    </r>
  </si>
  <si>
    <r>
      <rPr>
        <sz val="10"/>
        <rFont val="WenQuanYi Zen Hei"/>
        <family val="2"/>
      </rPr>
      <t xml:space="preserve">  （</t>
    </r>
    <r>
      <rPr>
        <sz val="10"/>
        <rFont val="Arial"/>
        <family val="0"/>
        <charset val="1"/>
      </rPr>
      <t xml:space="preserve">docs/meo-tools-comparison.md </t>
    </r>
    <r>
      <rPr>
        <sz val="10"/>
        <rFont val="WenQuanYi Zen Hei"/>
        <family val="2"/>
      </rPr>
      <t xml:space="preserve">を参照）</t>
    </r>
  </si>
  <si>
    <t xml:space="preserve">見積書</t>
  </si>
  <si>
    <t xml:space="preserve">宛先（会社名）</t>
  </si>
  <si>
    <t xml:space="preserve">見積書番号</t>
  </si>
  <si>
    <t xml:space="preserve">MITS-2026-001</t>
  </si>
  <si>
    <t xml:space="preserve">【顧客会社名】 御中</t>
  </si>
  <si>
    <t xml:space="preserve">発行日</t>
  </si>
  <si>
    <t xml:space="preserve">有効期限</t>
  </si>
  <si>
    <r>
      <rPr>
        <sz val="9"/>
        <color rgb="FF5B6472"/>
        <rFont val="WenQuanYi Zen Hei"/>
        <family val="2"/>
      </rPr>
      <t xml:space="preserve">発行者情報（自社情報・</t>
    </r>
    <r>
      <rPr>
        <sz val="9"/>
        <color rgb="FF5B6472"/>
        <rFont val="Arial"/>
        <family val="0"/>
        <charset val="1"/>
      </rPr>
      <t xml:space="preserve">1</t>
    </r>
    <r>
      <rPr>
        <sz val="9"/>
        <color rgb="FF5B6472"/>
        <rFont val="WenQuanYi Zen Hei"/>
        <family val="2"/>
      </rPr>
      <t xml:space="preserve">回入力すれば</t>
    </r>
    <r>
      <rPr>
        <sz val="9"/>
        <color rgb="FF5B6472"/>
        <rFont val="Arial"/>
        <family val="0"/>
        <charset val="1"/>
      </rPr>
      <t xml:space="preserve">OK</t>
    </r>
    <r>
      <rPr>
        <sz val="9"/>
        <color rgb="FF5B6472"/>
        <rFont val="WenQuanYi Zen Hei"/>
        <family val="2"/>
      </rPr>
      <t xml:space="preserve">）</t>
    </r>
  </si>
  <si>
    <t xml:space="preserve">会社名</t>
  </si>
  <si>
    <t xml:space="preserve">【株式会社◯◯】</t>
  </si>
  <si>
    <t xml:space="preserve">代表者名</t>
  </si>
  <si>
    <t xml:space="preserve">【代表取締役 氏名】</t>
  </si>
  <si>
    <t xml:space="preserve">住所</t>
  </si>
  <si>
    <t xml:space="preserve">【本店所在地】</t>
  </si>
  <si>
    <t xml:space="preserve">電話番号</t>
  </si>
  <si>
    <t xml:space="preserve">【電話番号】</t>
  </si>
  <si>
    <t xml:space="preserve">メールアドレス</t>
  </si>
  <si>
    <t xml:space="preserve">【メールアドレス】</t>
  </si>
  <si>
    <t xml:space="preserve">インボイス登録番号</t>
  </si>
  <si>
    <r>
      <rPr>
        <sz val="10"/>
        <color rgb="FF0000FF"/>
        <rFont val="WenQuanYi Zen Hei"/>
        <family val="2"/>
      </rPr>
      <t xml:space="preserve">【</t>
    </r>
    <r>
      <rPr>
        <sz val="10"/>
        <color rgb="FF0000FF"/>
        <rFont val="Arial"/>
        <family val="0"/>
        <charset val="1"/>
      </rPr>
      <t xml:space="preserve">T+13</t>
    </r>
    <r>
      <rPr>
        <sz val="10"/>
        <color rgb="FF0000FF"/>
        <rFont val="WenQuanYi Zen Hei"/>
        <family val="2"/>
      </rPr>
      <t xml:space="preserve">桁の登録番号】</t>
    </r>
  </si>
  <si>
    <t xml:space="preserve">振込先</t>
  </si>
  <si>
    <t xml:space="preserve">【銀行名／支店名／口座種別／口座番号／口座名義】</t>
  </si>
  <si>
    <t xml:space="preserve">No</t>
  </si>
  <si>
    <t xml:space="preserve">品目</t>
  </si>
  <si>
    <t xml:space="preserve">数量</t>
  </si>
  <si>
    <t xml:space="preserve">単価</t>
  </si>
  <si>
    <t xml:space="preserve">金額</t>
  </si>
  <si>
    <r>
      <rPr>
        <sz val="10"/>
        <color rgb="FF0000FF"/>
        <rFont val="Arial"/>
        <family val="0"/>
        <charset val="1"/>
      </rPr>
      <t xml:space="preserve">MEO</t>
    </r>
    <r>
      <rPr>
        <sz val="10"/>
        <color rgb="FF0000FF"/>
        <rFont val="WenQuanYi Zen Hei"/>
        <family val="2"/>
      </rPr>
      <t xml:space="preserve">対策 初期設定費</t>
    </r>
  </si>
  <si>
    <r>
      <rPr>
        <sz val="10"/>
        <color rgb="FF0000FF"/>
        <rFont val="Arial"/>
        <family val="0"/>
        <charset val="1"/>
      </rPr>
      <t xml:space="preserve">MEO</t>
    </r>
    <r>
      <rPr>
        <sz val="10"/>
        <color rgb="FF0000FF"/>
        <rFont val="WenQuanYi Zen Hei"/>
        <family val="2"/>
      </rPr>
      <t xml:space="preserve">対策 月額運用費（スタンダード）</t>
    </r>
  </si>
  <si>
    <t xml:space="preserve">小計</t>
  </si>
  <si>
    <r>
      <rPr>
        <sz val="10"/>
        <rFont val="WenQuanYi Zen Hei"/>
        <family val="2"/>
      </rPr>
      <t xml:space="preserve">消費税</t>
    </r>
    <r>
      <rPr>
        <sz val="10"/>
        <rFont val="Arial"/>
        <family val="0"/>
        <charset val="1"/>
      </rPr>
      <t xml:space="preserve">(10%)</t>
    </r>
  </si>
  <si>
    <t xml:space="preserve">合計</t>
  </si>
  <si>
    <r>
      <rPr>
        <sz val="9"/>
        <color rgb="FF5B6472"/>
        <rFont val="WenQuanYi Zen Hei"/>
        <family val="2"/>
      </rPr>
      <t xml:space="preserve">備考：契約期間は初回契約日より最低</t>
    </r>
    <r>
      <rPr>
        <sz val="9"/>
        <color rgb="FF5B6472"/>
        <rFont val="Arial"/>
        <family val="0"/>
        <charset val="1"/>
      </rPr>
      <t xml:space="preserve">3</t>
    </r>
    <r>
      <rPr>
        <sz val="9"/>
        <color rgb="FF5B6472"/>
        <rFont val="WenQuanYi Zen Hei"/>
        <family val="2"/>
      </rPr>
      <t xml:space="preserve">ヶ月間とします。順位保証はいたしかねます。</t>
    </r>
  </si>
  <si>
    <t xml:space="preserve">請求書</t>
  </si>
  <si>
    <t xml:space="preserve">請求書番号</t>
  </si>
  <si>
    <t xml:space="preserve">INV-2026-001</t>
  </si>
  <si>
    <t xml:space="preserve">お支払期限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</si>
</sst>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\円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20"/>
      <name val="WenQuanYi Zen Hei"/>
      <family val="2"/>
    </font>
    <font>
      <sz val="9"/>
      <color rgb="FF5B6472"/>
      <name val="WenQuanYi Zen Hei"/>
      <family val="2"/>
    </font>
    <font>
      <sz val="10"/>
      <color rgb="FF0000FF"/>
      <name val="Arial"/>
      <family val="0"/>
      <charset val="1"/>
    </font>
    <font>
      <b val="true"/>
      <sz val="13"/>
      <name val="WenQuanYi Zen Hei"/>
      <family val="2"/>
    </font>
    <font>
      <sz val="9"/>
      <color rgb="FF5B6472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5C"/>
        <bgColor rgb="FF008080"/>
      </patternFill>
    </fill>
    <fill>
      <patternFill patternType="solid">
        <fgColor rgb="FFE8F4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993366"/>
      <rgbColor rgb="FFFFFFCC"/>
      <rgbColor rgb="FFE8F4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4.15" hidden="false" customHeight="false" outlineLevel="0" collapsed="false">
      <c r="A6" s="2" t="s">
        <v>3</v>
      </c>
    </row>
    <row r="7" customFormat="false" ht="14.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4.15" hidden="false" customHeight="false" outlineLevel="0" collapsed="false">
      <c r="A11" s="3" t="s">
        <v>7</v>
      </c>
    </row>
    <row r="12" customFormat="false" ht="14.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4"/>
    <col collapsed="false" customWidth="true" hidden="false" outlineLevel="0" max="7" min="7" style="0" width="20"/>
  </cols>
  <sheetData>
    <row r="1" customFormat="false" ht="24.45" hidden="false" customHeight="false" outlineLevel="0" collapsed="false">
      <c r="B1" s="4" t="s">
        <v>9</v>
      </c>
    </row>
    <row r="3" customFormat="false" ht="15" hidden="false" customHeight="false" outlineLevel="0" collapsed="false">
      <c r="B3" s="5" t="s">
        <v>10</v>
      </c>
      <c r="E3" s="5" t="s">
        <v>11</v>
      </c>
      <c r="F3" s="6" t="s">
        <v>12</v>
      </c>
    </row>
    <row r="4" customFormat="false" ht="16.15" hidden="false" customHeight="false" outlineLevel="0" collapsed="false">
      <c r="B4" s="7" t="s">
        <v>13</v>
      </c>
      <c r="E4" s="5" t="s">
        <v>14</v>
      </c>
      <c r="F4" s="8" t="n">
        <v>46238</v>
      </c>
    </row>
    <row r="5" customFormat="false" ht="15" hidden="false" customHeight="false" outlineLevel="0" collapsed="false">
      <c r="E5" s="5" t="s">
        <v>15</v>
      </c>
      <c r="F5" s="9" t="n">
        <f aca="false">F4+30</f>
        <v>46268</v>
      </c>
    </row>
    <row r="7" customFormat="false" ht="15" hidden="false" customHeight="false" outlineLevel="0" collapsed="false">
      <c r="B7" s="5" t="s">
        <v>16</v>
      </c>
    </row>
    <row r="8" customFormat="false" ht="15" hidden="false" customHeight="false" outlineLevel="0" collapsed="false">
      <c r="B8" s="5" t="s">
        <v>17</v>
      </c>
      <c r="C8" s="10" t="s">
        <v>18</v>
      </c>
    </row>
    <row r="9" customFormat="false" ht="15" hidden="false" customHeight="false" outlineLevel="0" collapsed="false">
      <c r="B9" s="5" t="s">
        <v>19</v>
      </c>
      <c r="C9" s="10" t="s">
        <v>20</v>
      </c>
    </row>
    <row r="10" customFormat="false" ht="15" hidden="false" customHeight="false" outlineLevel="0" collapsed="false">
      <c r="B10" s="5" t="s">
        <v>21</v>
      </c>
      <c r="C10" s="10" t="s">
        <v>22</v>
      </c>
    </row>
    <row r="11" customFormat="false" ht="15" hidden="false" customHeight="false" outlineLevel="0" collapsed="false">
      <c r="B11" s="5" t="s">
        <v>23</v>
      </c>
      <c r="C11" s="10" t="s">
        <v>24</v>
      </c>
    </row>
    <row r="12" customFormat="false" ht="15" hidden="false" customHeight="false" outlineLevel="0" collapsed="false">
      <c r="B12" s="5" t="s">
        <v>25</v>
      </c>
      <c r="C12" s="10" t="s">
        <v>26</v>
      </c>
    </row>
    <row r="13" customFormat="false" ht="15" hidden="false" customHeight="false" outlineLevel="0" collapsed="false">
      <c r="B13" s="5" t="s">
        <v>27</v>
      </c>
      <c r="C13" s="10" t="s">
        <v>28</v>
      </c>
    </row>
    <row r="14" customFormat="false" ht="15" hidden="false" customHeight="false" outlineLevel="0" collapsed="false">
      <c r="B14" s="5" t="s">
        <v>29</v>
      </c>
      <c r="C14" s="10" t="s">
        <v>30</v>
      </c>
    </row>
    <row r="17" customFormat="false" ht="15" hidden="false" customHeight="false" outlineLevel="0" collapsed="false">
      <c r="B17" s="11" t="s">
        <v>31</v>
      </c>
      <c r="C17" s="12" t="s">
        <v>32</v>
      </c>
      <c r="D17" s="12" t="s">
        <v>33</v>
      </c>
      <c r="E17" s="12" t="s">
        <v>34</v>
      </c>
      <c r="F17" s="12" t="s">
        <v>35</v>
      </c>
    </row>
    <row r="18" customFormat="false" ht="15" hidden="false" customHeight="false" outlineLevel="0" collapsed="false">
      <c r="B18" s="13" t="n">
        <v>1</v>
      </c>
      <c r="C18" s="14" t="s">
        <v>36</v>
      </c>
      <c r="D18" s="14" t="n">
        <v>1</v>
      </c>
      <c r="E18" s="15" t="n">
        <v>30000</v>
      </c>
      <c r="F18" s="16" t="n">
        <f aca="false">IF(OR(D18="",E18=""),"",D18*E18)</f>
        <v>30000</v>
      </c>
    </row>
    <row r="19" customFormat="false" ht="15" hidden="false" customHeight="false" outlineLevel="0" collapsed="false">
      <c r="B19" s="13" t="n">
        <v>2</v>
      </c>
      <c r="C19" s="14" t="s">
        <v>37</v>
      </c>
      <c r="D19" s="14" t="n">
        <v>1</v>
      </c>
      <c r="E19" s="15" t="n">
        <v>30000</v>
      </c>
      <c r="F19" s="16" t="n">
        <f aca="false">IF(OR(D19="",E19=""),"",D19*E19)</f>
        <v>30000</v>
      </c>
    </row>
    <row r="20" customFormat="false" ht="15" hidden="false" customHeight="false" outlineLevel="0" collapsed="false">
      <c r="B20" s="13" t="n">
        <v>3</v>
      </c>
      <c r="C20" s="13"/>
      <c r="D20" s="13"/>
      <c r="E20" s="16"/>
      <c r="F20" s="16" t="str">
        <f aca="false">IF(OR(D20="",E20=""),"",D20*E20)</f>
        <v/>
      </c>
    </row>
    <row r="21" customFormat="false" ht="15" hidden="false" customHeight="false" outlineLevel="0" collapsed="false">
      <c r="B21" s="13" t="n">
        <v>4</v>
      </c>
      <c r="C21" s="13"/>
      <c r="D21" s="13"/>
      <c r="E21" s="16"/>
      <c r="F21" s="16" t="str">
        <f aca="false">IF(OR(D21="",E21=""),"",D21*E21)</f>
        <v/>
      </c>
    </row>
    <row r="22" customFormat="false" ht="15" hidden="false" customHeight="false" outlineLevel="0" collapsed="false">
      <c r="B22" s="13" t="n">
        <v>5</v>
      </c>
      <c r="C22" s="13"/>
      <c r="D22" s="13"/>
      <c r="E22" s="16"/>
      <c r="F22" s="16" t="str">
        <f aca="false">IF(OR(D22="",E22=""),"",D22*E22)</f>
        <v/>
      </c>
    </row>
    <row r="23" customFormat="false" ht="15" hidden="false" customHeight="false" outlineLevel="0" collapsed="false">
      <c r="B23" s="13" t="n">
        <v>6</v>
      </c>
      <c r="C23" s="13"/>
      <c r="D23" s="13"/>
      <c r="E23" s="16"/>
      <c r="F23" s="16" t="str">
        <f aca="false">IF(OR(D23="",E23=""),"",D23*E23)</f>
        <v/>
      </c>
    </row>
    <row r="24" customFormat="false" ht="15" hidden="false" customHeight="false" outlineLevel="0" collapsed="false">
      <c r="B24" s="13" t="n">
        <v>7</v>
      </c>
      <c r="C24" s="13"/>
      <c r="D24" s="13"/>
      <c r="E24" s="16"/>
      <c r="F24" s="16" t="str">
        <f aca="false">IF(OR(D24="",E24=""),"",D24*E24)</f>
        <v/>
      </c>
    </row>
    <row r="25" customFormat="false" ht="15" hidden="false" customHeight="false" outlineLevel="0" collapsed="false">
      <c r="B25" s="13" t="n">
        <v>8</v>
      </c>
      <c r="C25" s="13"/>
      <c r="D25" s="13"/>
      <c r="E25" s="16"/>
      <c r="F25" s="16" t="str">
        <f aca="false">IF(OR(D25="",E25=""),"",D25*E25)</f>
        <v/>
      </c>
    </row>
    <row r="26" customFormat="false" ht="15" hidden="false" customHeight="false" outlineLevel="0" collapsed="false">
      <c r="B26" s="13" t="n">
        <v>9</v>
      </c>
      <c r="C26" s="13"/>
      <c r="D26" s="13"/>
      <c r="E26" s="16"/>
      <c r="F26" s="16" t="str">
        <f aca="false">IF(OR(D26="",E26=""),"",D26*E26)</f>
        <v/>
      </c>
    </row>
    <row r="27" customFormat="false" ht="15" hidden="false" customHeight="false" outlineLevel="0" collapsed="false">
      <c r="B27" s="13" t="n">
        <v>10</v>
      </c>
      <c r="C27" s="13"/>
      <c r="D27" s="13"/>
      <c r="E27" s="16"/>
      <c r="F27" s="16" t="str">
        <f aca="false">IF(OR(D27="",E27=""),"",D27*E27)</f>
        <v/>
      </c>
    </row>
    <row r="29" customFormat="false" ht="15" hidden="false" customHeight="false" outlineLevel="0" collapsed="false">
      <c r="D29" s="17" t="s">
        <v>38</v>
      </c>
      <c r="F29" s="18" t="n">
        <f aca="false">SUM(F18:F27)</f>
        <v>60000</v>
      </c>
    </row>
    <row r="30" customFormat="false" ht="15" hidden="false" customHeight="false" outlineLevel="0" collapsed="false">
      <c r="D30" s="3" t="s">
        <v>39</v>
      </c>
      <c r="F30" s="19" t="n">
        <f aca="false">F29*0.1</f>
        <v>6000</v>
      </c>
    </row>
    <row r="31" customFormat="false" ht="16.4" hidden="false" customHeight="false" outlineLevel="0" collapsed="false">
      <c r="D31" s="20" t="s">
        <v>40</v>
      </c>
      <c r="F31" s="21" t="n">
        <f aca="false">F29+F30</f>
        <v>66000</v>
      </c>
    </row>
    <row r="33" customFormat="false" ht="15" hidden="false" customHeight="false" outlineLevel="0" collapsed="false">
      <c r="B33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4"/>
    <col collapsed="false" customWidth="true" hidden="false" outlineLevel="0" max="7" min="7" style="0" width="20"/>
  </cols>
  <sheetData>
    <row r="1" customFormat="false" ht="24.45" hidden="false" customHeight="false" outlineLevel="0" collapsed="false">
      <c r="B1" s="4" t="s">
        <v>42</v>
      </c>
    </row>
    <row r="3" customFormat="false" ht="15" hidden="false" customHeight="false" outlineLevel="0" collapsed="false">
      <c r="B3" s="5" t="s">
        <v>10</v>
      </c>
      <c r="E3" s="5" t="s">
        <v>43</v>
      </c>
      <c r="F3" s="6" t="s">
        <v>44</v>
      </c>
    </row>
    <row r="4" customFormat="false" ht="16.15" hidden="false" customHeight="false" outlineLevel="0" collapsed="false">
      <c r="B4" s="7" t="s">
        <v>13</v>
      </c>
      <c r="E4" s="5" t="s">
        <v>14</v>
      </c>
      <c r="F4" s="8" t="n">
        <v>46238</v>
      </c>
    </row>
    <row r="5" customFormat="false" ht="15" hidden="false" customHeight="false" outlineLevel="0" collapsed="false">
      <c r="E5" s="5" t="s">
        <v>45</v>
      </c>
      <c r="F5" s="9" t="n">
        <f aca="false">EOMONTH(F4,1)</f>
        <v>46295</v>
      </c>
    </row>
    <row r="7" customFormat="false" ht="15" hidden="false" customHeight="false" outlineLevel="0" collapsed="false">
      <c r="B7" s="5" t="s">
        <v>16</v>
      </c>
    </row>
    <row r="8" customFormat="false" ht="15" hidden="false" customHeight="false" outlineLevel="0" collapsed="false">
      <c r="B8" s="5" t="s">
        <v>17</v>
      </c>
      <c r="C8" s="10" t="s">
        <v>18</v>
      </c>
    </row>
    <row r="9" customFormat="false" ht="15" hidden="false" customHeight="false" outlineLevel="0" collapsed="false">
      <c r="B9" s="5" t="s">
        <v>19</v>
      </c>
      <c r="C9" s="10" t="s">
        <v>20</v>
      </c>
    </row>
    <row r="10" customFormat="false" ht="15" hidden="false" customHeight="false" outlineLevel="0" collapsed="false">
      <c r="B10" s="5" t="s">
        <v>21</v>
      </c>
      <c r="C10" s="10" t="s">
        <v>22</v>
      </c>
    </row>
    <row r="11" customFormat="false" ht="15" hidden="false" customHeight="false" outlineLevel="0" collapsed="false">
      <c r="B11" s="5" t="s">
        <v>23</v>
      </c>
      <c r="C11" s="10" t="s">
        <v>24</v>
      </c>
    </row>
    <row r="12" customFormat="false" ht="15" hidden="false" customHeight="false" outlineLevel="0" collapsed="false">
      <c r="B12" s="5" t="s">
        <v>25</v>
      </c>
      <c r="C12" s="10" t="s">
        <v>26</v>
      </c>
    </row>
    <row r="13" customFormat="false" ht="15" hidden="false" customHeight="false" outlineLevel="0" collapsed="false">
      <c r="B13" s="5" t="s">
        <v>27</v>
      </c>
      <c r="C13" s="10" t="s">
        <v>28</v>
      </c>
    </row>
    <row r="14" customFormat="false" ht="15" hidden="false" customHeight="false" outlineLevel="0" collapsed="false">
      <c r="B14" s="5" t="s">
        <v>29</v>
      </c>
      <c r="C14" s="10" t="s">
        <v>30</v>
      </c>
    </row>
    <row r="17" customFormat="false" ht="15" hidden="false" customHeight="false" outlineLevel="0" collapsed="false">
      <c r="B17" s="11" t="s">
        <v>31</v>
      </c>
      <c r="C17" s="12" t="s">
        <v>32</v>
      </c>
      <c r="D17" s="12" t="s">
        <v>33</v>
      </c>
      <c r="E17" s="12" t="s">
        <v>34</v>
      </c>
      <c r="F17" s="12" t="s">
        <v>35</v>
      </c>
    </row>
    <row r="18" customFormat="false" ht="15" hidden="false" customHeight="false" outlineLevel="0" collapsed="false">
      <c r="B18" s="13" t="n">
        <v>1</v>
      </c>
      <c r="C18" s="14" t="s">
        <v>36</v>
      </c>
      <c r="D18" s="14" t="n">
        <v>1</v>
      </c>
      <c r="E18" s="15" t="n">
        <v>30000</v>
      </c>
      <c r="F18" s="16" t="n">
        <f aca="false">IF(OR(D18="",E18=""),"",D18*E18)</f>
        <v>30000</v>
      </c>
    </row>
    <row r="19" customFormat="false" ht="15" hidden="false" customHeight="false" outlineLevel="0" collapsed="false">
      <c r="B19" s="13" t="n">
        <v>2</v>
      </c>
      <c r="C19" s="14" t="s">
        <v>37</v>
      </c>
      <c r="D19" s="14" t="n">
        <v>1</v>
      </c>
      <c r="E19" s="15" t="n">
        <v>30000</v>
      </c>
      <c r="F19" s="16" t="n">
        <f aca="false">IF(OR(D19="",E19=""),"",D19*E19)</f>
        <v>30000</v>
      </c>
    </row>
    <row r="20" customFormat="false" ht="15" hidden="false" customHeight="false" outlineLevel="0" collapsed="false">
      <c r="B20" s="13" t="n">
        <v>3</v>
      </c>
      <c r="C20" s="13"/>
      <c r="D20" s="13"/>
      <c r="E20" s="16"/>
      <c r="F20" s="16" t="str">
        <f aca="false">IF(OR(D20="",E20=""),"",D20*E20)</f>
        <v/>
      </c>
    </row>
    <row r="21" customFormat="false" ht="15" hidden="false" customHeight="false" outlineLevel="0" collapsed="false">
      <c r="B21" s="13" t="n">
        <v>4</v>
      </c>
      <c r="C21" s="13"/>
      <c r="D21" s="13"/>
      <c r="E21" s="16"/>
      <c r="F21" s="16" t="str">
        <f aca="false">IF(OR(D21="",E21=""),"",D21*E21)</f>
        <v/>
      </c>
    </row>
    <row r="22" customFormat="false" ht="15" hidden="false" customHeight="false" outlineLevel="0" collapsed="false">
      <c r="B22" s="13" t="n">
        <v>5</v>
      </c>
      <c r="C22" s="13"/>
      <c r="D22" s="13"/>
      <c r="E22" s="16"/>
      <c r="F22" s="16" t="str">
        <f aca="false">IF(OR(D22="",E22=""),"",D22*E22)</f>
        <v/>
      </c>
    </row>
    <row r="23" customFormat="false" ht="15" hidden="false" customHeight="false" outlineLevel="0" collapsed="false">
      <c r="B23" s="13" t="n">
        <v>6</v>
      </c>
      <c r="C23" s="13"/>
      <c r="D23" s="13"/>
      <c r="E23" s="16"/>
      <c r="F23" s="16" t="str">
        <f aca="false">IF(OR(D23="",E23=""),"",D23*E23)</f>
        <v/>
      </c>
    </row>
    <row r="24" customFormat="false" ht="15" hidden="false" customHeight="false" outlineLevel="0" collapsed="false">
      <c r="B24" s="13" t="n">
        <v>7</v>
      </c>
      <c r="C24" s="13"/>
      <c r="D24" s="13"/>
      <c r="E24" s="16"/>
      <c r="F24" s="16" t="str">
        <f aca="false">IF(OR(D24="",E24=""),"",D24*E24)</f>
        <v/>
      </c>
    </row>
    <row r="25" customFormat="false" ht="15" hidden="false" customHeight="false" outlineLevel="0" collapsed="false">
      <c r="B25" s="13" t="n">
        <v>8</v>
      </c>
      <c r="C25" s="13"/>
      <c r="D25" s="13"/>
      <c r="E25" s="16"/>
      <c r="F25" s="16" t="str">
        <f aca="false">IF(OR(D25="",E25=""),"",D25*E25)</f>
        <v/>
      </c>
    </row>
    <row r="26" customFormat="false" ht="15" hidden="false" customHeight="false" outlineLevel="0" collapsed="false">
      <c r="B26" s="13" t="n">
        <v>9</v>
      </c>
      <c r="C26" s="13"/>
      <c r="D26" s="13"/>
      <c r="E26" s="16"/>
      <c r="F26" s="16" t="str">
        <f aca="false">IF(OR(D26="",E26=""),"",D26*E26)</f>
        <v/>
      </c>
    </row>
    <row r="27" customFormat="false" ht="15" hidden="false" customHeight="false" outlineLevel="0" collapsed="false">
      <c r="B27" s="13" t="n">
        <v>10</v>
      </c>
      <c r="C27" s="13"/>
      <c r="D27" s="13"/>
      <c r="E27" s="16"/>
      <c r="F27" s="16" t="str">
        <f aca="false">IF(OR(D27="",E27=""),"",D27*E27)</f>
        <v/>
      </c>
    </row>
    <row r="29" customFormat="false" ht="15" hidden="false" customHeight="false" outlineLevel="0" collapsed="false">
      <c r="D29" s="17" t="s">
        <v>38</v>
      </c>
      <c r="F29" s="18" t="n">
        <f aca="false">SUM(F18:F27)</f>
        <v>60000</v>
      </c>
    </row>
    <row r="30" customFormat="false" ht="15" hidden="false" customHeight="false" outlineLevel="0" collapsed="false">
      <c r="D30" s="3" t="s">
        <v>39</v>
      </c>
      <c r="F30" s="19" t="n">
        <f aca="false">F29*0.1</f>
        <v>6000</v>
      </c>
    </row>
    <row r="31" customFormat="false" ht="16.4" hidden="false" customHeight="false" outlineLevel="0" collapsed="false">
      <c r="D31" s="20" t="s">
        <v>40</v>
      </c>
      <c r="F31" s="21" t="n">
        <f aca="false">F29+F30</f>
        <v>66000</v>
      </c>
    </row>
    <row r="33" customFormat="false" ht="15" hidden="false" customHeight="false" outlineLevel="0" collapsed="false">
      <c r="B33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2026-08-04T01:44:23Z</dcterms:created>
  <dc:creator>openpyxl</dc:creator>
  <dc:description/>
  <dc:language>en-US</dc:language>
  <cp:lastModifiedBy/>
  <dcterms:modified xsi:type="dcterms:W3CDTF">2026-08-04T01:44:23Z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